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Checklist" sheetId="1" state="visible" r:id="rId1"/>
    <sheet xmlns:r="http://schemas.openxmlformats.org/officeDocument/2006/relationships" name="Score Parameters" sheetId="2" state="visible" r:id="rId2"/>
    <sheet xmlns:r="http://schemas.openxmlformats.org/officeDocument/2006/relationships" name="Supporting" sheetId="3" state="hidden" r:id="rId3"/>
  </sheets>
  <definedNames>
    <definedName name="_xlnm.Print_Titles" localSheetId="0">'Checklist'!$7:$7</definedName>
    <definedName name="_xlnm.Print_Titles" localSheetId="2">'Supporting'!$1:$1</definedName>
  </definedNames>
  <calcPr calcId="191029" fullCalcOnLoad="1" forceFullCalc="1"/>
</workbook>
</file>

<file path=xl/styles.xml><?xml version="1.0" encoding="utf-8"?>
<styleSheet xmlns="http://schemas.openxmlformats.org/spreadsheetml/2006/main">
  <numFmts count="0"/>
  <fonts count="10">
    <font>
      <name val="Calibri"/>
      <family val="2"/>
      <color theme="1"/>
      <sz val="11"/>
      <scheme val="minor"/>
    </font>
    <font>
      <name val="Calibri"/>
      <family val="2"/>
      <color theme="1"/>
      <sz val="11"/>
      <scheme val="minor"/>
    </font>
    <font>
      <name val="Calibri"/>
      <family val="2"/>
      <b val="1"/>
      <color theme="0"/>
      <sz val="10"/>
      <scheme val="minor"/>
    </font>
    <font>
      <name val="Calibri"/>
      <family val="2"/>
      <color theme="1"/>
      <sz val="10"/>
      <scheme val="minor"/>
    </font>
    <font>
      <name val="Calibri"/>
      <family val="2"/>
      <color theme="3" tint="-0.499984740745262"/>
      <sz val="10"/>
      <scheme val="minor"/>
    </font>
    <font>
      <name val="Calibri"/>
      <family val="2"/>
      <b val="1"/>
      <color theme="3" tint="-0.499984740745262"/>
      <sz val="10"/>
      <scheme val="minor"/>
    </font>
    <font>
      <name val="Calibri"/>
      <family val="2"/>
      <sz val="10"/>
      <scheme val="minor"/>
    </font>
    <font>
      <name val="Calibri"/>
      <family val="2"/>
      <color theme="1"/>
      <sz val="9"/>
      <scheme val="minor"/>
    </font>
    <font>
      <name val="Calibri"/>
      <family val="2"/>
      <b val="1"/>
      <color theme="0"/>
      <sz val="9"/>
      <scheme val="minor"/>
    </font>
    <font>
      <name val="Calibri"/>
      <family val="2"/>
      <b val="1"/>
      <color theme="1"/>
      <sz val="9"/>
      <scheme val="minor"/>
    </font>
  </fonts>
  <fills count="10">
    <fill>
      <patternFill/>
    </fill>
    <fill>
      <patternFill patternType="gray125"/>
    </fill>
    <fill>
      <patternFill patternType="solid">
        <fgColor theme="4" tint="0.7999816888943144"/>
        <bgColor indexed="64"/>
      </patternFill>
    </fill>
    <fill>
      <patternFill patternType="solid">
        <fgColor theme="0"/>
        <bgColor indexed="64"/>
      </patternFill>
    </fill>
    <fill>
      <patternFill patternType="solid">
        <fgColor theme="4" tint="-0.249977111117893"/>
        <bgColor indexed="64"/>
      </patternFill>
    </fill>
    <fill>
      <patternFill patternType="solid">
        <fgColor theme="9" tint="0.3999755851924192"/>
        <bgColor indexed="64"/>
      </patternFill>
    </fill>
    <fill>
      <patternFill patternType="solid">
        <fgColor theme="9" tint="0.7999816888943144"/>
        <bgColor indexed="64"/>
      </patternFill>
    </fill>
    <fill>
      <patternFill patternType="solid">
        <fgColor theme="7" tint="0.5999938962981048"/>
        <bgColor indexed="64"/>
      </patternFill>
    </fill>
    <fill>
      <patternFill patternType="solid">
        <fgColor rgb="FFFB7D7D"/>
        <bgColor indexed="64"/>
      </patternFill>
    </fill>
    <fill>
      <patternFill patternType="solid">
        <fgColor rgb="FFFF111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2">
    <xf numFmtId="0" fontId="1" fillId="0" borderId="0"/>
    <xf numFmtId="9" fontId="1" fillId="0" borderId="0"/>
  </cellStyleXfs>
  <cellXfs count="41">
    <xf numFmtId="0" fontId="0" fillId="0" borderId="0" pivotButton="0" quotePrefix="0" xfId="0"/>
    <xf numFmtId="0" fontId="3" fillId="0"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xf>
    <xf numFmtId="0" fontId="2" fillId="4" borderId="1" applyAlignment="1" pivotButton="0" quotePrefix="0" xfId="0">
      <alignment horizontal="left" vertical="center"/>
    </xf>
    <xf numFmtId="0" fontId="4" fillId="0" borderId="1" applyAlignment="1" pivotButton="0" quotePrefix="0" xfId="0">
      <alignment horizontal="center" vertical="center" wrapText="1"/>
    </xf>
    <xf numFmtId="0" fontId="4" fillId="0" borderId="1" applyAlignment="1" pivotButton="0" quotePrefix="0" xfId="0">
      <alignment horizontal="center" vertical="center"/>
    </xf>
    <xf numFmtId="9" fontId="5" fillId="0" borderId="1" applyAlignment="1" pivotButton="0" quotePrefix="0" xfId="1">
      <alignment horizontal="center" vertical="center" wrapText="1"/>
    </xf>
    <xf numFmtId="9" fontId="5" fillId="2" borderId="1" applyAlignment="1" pivotButton="0" quotePrefix="0" xfId="1">
      <alignment horizontal="center" vertical="center" wrapText="1"/>
    </xf>
    <xf numFmtId="0" fontId="3" fillId="0" borderId="0" applyAlignment="1" pivotButton="0" quotePrefix="0" xfId="0">
      <alignment vertical="center"/>
    </xf>
    <xf numFmtId="9" fontId="3" fillId="0" borderId="0" applyAlignment="1" pivotButton="0" quotePrefix="0" xfId="0">
      <alignment vertical="center"/>
    </xf>
    <xf numFmtId="0" fontId="4" fillId="0" borderId="1" applyAlignment="1" pivotButton="0" quotePrefix="0" xfId="0">
      <alignment vertical="center" wrapText="1"/>
    </xf>
    <xf numFmtId="0" fontId="3" fillId="0" borderId="0" applyAlignment="1" pivotButton="0" quotePrefix="0" xfId="0">
      <alignment vertical="center" wrapText="1"/>
    </xf>
    <xf numFmtId="0" fontId="3" fillId="0" borderId="0" applyAlignment="1" pivotButton="0" quotePrefix="0" xfId="0">
      <alignment horizontal="center" vertical="center" wrapText="1"/>
    </xf>
    <xf numFmtId="0" fontId="6" fillId="5" borderId="1" applyAlignment="1" pivotButton="0" quotePrefix="0" xfId="0">
      <alignment horizontal="center" vertical="center"/>
    </xf>
    <xf numFmtId="0" fontId="6" fillId="6" borderId="1" applyAlignment="1" pivotButton="0" quotePrefix="0" xfId="0">
      <alignment horizontal="center" vertical="center"/>
    </xf>
    <xf numFmtId="0" fontId="6" fillId="7" borderId="1" applyAlignment="1" pivotButton="0" quotePrefix="0" xfId="0">
      <alignment horizontal="center" vertical="center"/>
    </xf>
    <xf numFmtId="0" fontId="6" fillId="8" borderId="1" applyAlignment="1" pivotButton="0" quotePrefix="0" xfId="0">
      <alignment horizontal="center" vertical="center"/>
    </xf>
    <xf numFmtId="0" fontId="6" fillId="9" borderId="1" applyAlignment="1" pivotButton="0" quotePrefix="0" xfId="0">
      <alignment horizontal="center" vertical="center"/>
    </xf>
    <xf numFmtId="0" fontId="3" fillId="0" borderId="1" applyAlignment="1" pivotButton="0" quotePrefix="0" xfId="0">
      <alignment horizontal="left" vertical="center" wrapText="1"/>
    </xf>
    <xf numFmtId="0" fontId="3" fillId="0" borderId="0" applyAlignment="1" pivotButton="0" quotePrefix="0" xfId="0">
      <alignment horizontal="left" vertical="center"/>
    </xf>
    <xf numFmtId="0" fontId="2" fillId="4" borderId="0" applyAlignment="1" pivotButton="0" quotePrefix="0" xfId="0">
      <alignment horizontal="left" vertical="center"/>
    </xf>
    <xf numFmtId="0" fontId="8" fillId="4" borderId="1" applyAlignment="1" pivotButton="0" quotePrefix="0" xfId="0">
      <alignment horizontal="center" vertical="top" wrapText="1"/>
    </xf>
    <xf numFmtId="0" fontId="8" fillId="4" borderId="1" applyAlignment="1" pivotButton="0" quotePrefix="0" xfId="0">
      <alignment horizontal="left" vertical="top" wrapText="1"/>
    </xf>
    <xf numFmtId="0" fontId="7" fillId="0" borderId="1" applyAlignment="1" pivotButton="0" quotePrefix="0" xfId="0">
      <alignment horizontal="center" vertical="top" wrapText="1"/>
    </xf>
    <xf numFmtId="0" fontId="7" fillId="0" borderId="1" applyAlignment="1" pivotButton="0" quotePrefix="0" xfId="0">
      <alignment horizontal="left" vertical="top" wrapText="1"/>
    </xf>
    <xf numFmtId="0" fontId="7" fillId="3" borderId="1" applyAlignment="1" pivotButton="0" quotePrefix="0" xfId="0">
      <alignment horizontal="left" vertical="top" wrapText="1"/>
    </xf>
    <xf numFmtId="0" fontId="7" fillId="3" borderId="1" applyAlignment="1" pivotButton="0" quotePrefix="0" xfId="0">
      <alignment horizontal="center" vertical="top" wrapText="1"/>
    </xf>
    <xf numFmtId="0" fontId="7" fillId="0" borderId="0" applyAlignment="1" pivotButton="0" quotePrefix="0" xfId="0">
      <alignment horizontal="left" vertical="top" wrapText="1"/>
    </xf>
    <xf numFmtId="14" fontId="7" fillId="0" borderId="1" applyAlignment="1" pivotButton="0" quotePrefix="0" xfId="0">
      <alignment horizontal="left" vertical="top" wrapText="1"/>
    </xf>
    <xf numFmtId="1" fontId="7" fillId="3" borderId="1" applyAlignment="1" pivotButton="0" quotePrefix="0" xfId="0">
      <alignment horizontal="left" vertical="top" wrapText="1"/>
    </xf>
    <xf numFmtId="0" fontId="7" fillId="0" borderId="0" applyAlignment="1" pivotButton="0" quotePrefix="0" xfId="0">
      <alignment horizontal="center" vertical="top" wrapText="1"/>
    </xf>
    <xf numFmtId="0" fontId="9" fillId="0" borderId="0" applyAlignment="1" pivotButton="0" quotePrefix="0" xfId="0">
      <alignment horizontal="left" vertical="top" wrapText="1"/>
    </xf>
    <xf numFmtId="1" fontId="7" fillId="0" borderId="0" applyAlignment="1" pivotButton="0" quotePrefix="0" xfId="0">
      <alignment horizontal="left" vertical="top" wrapText="1"/>
    </xf>
    <xf numFmtId="0" fontId="2" fillId="4" borderId="2" applyAlignment="1" pivotButton="0" quotePrefix="0" xfId="0">
      <alignment horizontal="center" vertical="center"/>
    </xf>
    <xf numFmtId="0" fontId="2" fillId="4" borderId="3" applyAlignment="1" pivotButton="0" quotePrefix="0" xfId="0">
      <alignment horizontal="center" vertical="center"/>
    </xf>
    <xf numFmtId="0" fontId="2" fillId="4" borderId="4" applyAlignment="1" pivotButton="0" quotePrefix="0" xfId="0">
      <alignment horizontal="center" vertical="center"/>
    </xf>
    <xf numFmtId="0" fontId="9" fillId="3" borderId="1" applyAlignment="1" pivotButton="0" quotePrefix="0" xfId="0">
      <alignment horizontal="center" vertical="top" wrapText="1"/>
    </xf>
    <xf numFmtId="0" fontId="9" fillId="0" borderId="1" applyAlignment="1" pivotButton="0" quotePrefix="0" xfId="0">
      <alignment horizontal="left" vertical="top" wrapText="1"/>
    </xf>
    <xf numFmtId="0" fontId="0" fillId="0" borderId="3" pivotButton="0" quotePrefix="0" xfId="0"/>
    <xf numFmtId="0" fontId="0" fillId="0" borderId="4" pivotButton="0" quotePrefix="0" xfId="0"/>
  </cellXfs>
  <cellStyles count="2">
    <cellStyle name="Normal" xfId="0" builtinId="0"/>
    <cellStyle name="Percent" xfId="1" builtinId="5"/>
  </cellStyles>
  <dxfs count="3">
    <dxf>
      <fill>
        <patternFill>
          <bgColor rgb="FFFF2F2F"/>
        </patternFill>
      </fill>
    </dxf>
    <dxf>
      <fill>
        <patternFill>
          <bgColor rgb="FFFFC91D"/>
        </patternFill>
      </fill>
    </dxf>
    <dxf>
      <fill>
        <patternFill>
          <bgColor rgb="FFA4D76B"/>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2:J72"/>
  <sheetViews>
    <sheetView showGridLines="0" tabSelected="1" zoomScaleNormal="100" workbookViewId="0">
      <selection activeCell="D3" sqref="D3"/>
    </sheetView>
  </sheetViews>
  <sheetFormatPr baseColWidth="8" defaultColWidth="8.6640625" defaultRowHeight="12"/>
  <cols>
    <col width="5.6640625" bestFit="1" customWidth="1" style="31" min="1" max="1"/>
    <col width="17.33203125" bestFit="1" customWidth="1" style="28" min="2" max="2"/>
    <col width="21.44140625" bestFit="1" customWidth="1" style="28" min="3" max="3"/>
    <col width="42.6640625" customWidth="1" style="28" min="4" max="4"/>
    <col hidden="1" width="17.33203125" customWidth="1" style="28" min="5" max="5"/>
    <col width="15.6640625" bestFit="1" customWidth="1" style="28" min="6" max="6"/>
    <col width="36" customWidth="1" style="28" min="7" max="7"/>
    <col width="33.33203125" customWidth="1" style="28" min="8" max="8"/>
    <col width="11.5546875" bestFit="1" customWidth="1" style="28" min="9" max="9"/>
    <col width="13.6640625" bestFit="1" customWidth="1" style="28" min="10" max="10"/>
    <col width="8.6640625" customWidth="1" style="28" min="11" max="16384"/>
  </cols>
  <sheetData>
    <row r="2" ht="39.9" customHeight="1">
      <c r="C2" s="23" t="inlineStr">
        <is>
          <t>Agency Code</t>
        </is>
      </c>
      <c r="D2" s="25" t="inlineStr">
        <is>
          <t>19034 &amp; 49363</t>
        </is>
      </c>
      <c r="E2" s="25" t="n"/>
      <c r="F2" s="23" t="inlineStr">
        <is>
          <t>Auditor Name</t>
        </is>
      </c>
      <c r="G2" s="25" t="inlineStr">
        <is>
          <t>Parteek Yadav</t>
        </is>
      </c>
    </row>
    <row r="3" ht="39.9" customHeight="1">
      <c r="C3" s="23" t="inlineStr">
        <is>
          <t>Agency Name</t>
        </is>
      </c>
      <c r="D3" s="25" t="inlineStr">
        <is>
          <t>Mahadev Enterprises</t>
        </is>
      </c>
      <c r="E3" s="29" t="n"/>
      <c r="F3" s="23" t="inlineStr">
        <is>
          <t>Audit Date</t>
        </is>
      </c>
      <c r="G3" s="29" t="inlineStr">
        <is>
          <t>30/7/2026</t>
        </is>
      </c>
    </row>
    <row r="4" ht="39.9" customHeight="1">
      <c r="C4" s="23" t="inlineStr">
        <is>
          <t>Agency Address</t>
        </is>
      </c>
      <c r="D4" s="25" t="inlineStr">
        <is>
          <t>B276 1st floor</t>
        </is>
      </c>
      <c r="E4" s="25" t="n"/>
      <c r="F4" s="23" t="inlineStr">
        <is>
          <t>Collection Manager</t>
        </is>
      </c>
      <c r="G4" s="25" t="inlineStr">
        <is>
          <t>Parteek yadav</t>
        </is>
      </c>
    </row>
    <row r="5" ht="39.9" customHeight="1">
      <c r="C5" s="23" t="inlineStr">
        <is>
          <t>Type of agency</t>
        </is>
      </c>
      <c r="D5" s="25" t="inlineStr">
        <is>
          <t>Collection &amp; Repo Agency</t>
        </is>
      </c>
      <c r="E5" s="25" t="n"/>
      <c r="F5" s="23" t="inlineStr">
        <is>
          <t>Agency Manager</t>
        </is>
      </c>
      <c r="G5" s="25" t="inlineStr">
        <is>
          <t>Parteek yadav</t>
        </is>
      </c>
    </row>
    <row r="7" ht="24" customHeight="1">
      <c r="A7" s="22" t="inlineStr">
        <is>
          <t>Sr.No.</t>
        </is>
      </c>
      <c r="B7" s="23" t="inlineStr">
        <is>
          <t>Rating Category</t>
        </is>
      </c>
      <c r="C7" s="23" t="inlineStr">
        <is>
          <t>Short Segmentation</t>
        </is>
      </c>
      <c r="D7" s="23" t="inlineStr">
        <is>
          <t>Particular</t>
        </is>
      </c>
      <c r="E7" s="23" t="inlineStr">
        <is>
          <t>Final Score</t>
        </is>
      </c>
      <c r="F7" s="22" t="inlineStr">
        <is>
          <t>Compliance status
 (Yes / No)</t>
        </is>
      </c>
      <c r="G7" s="23" t="inlineStr">
        <is>
          <t>Observation</t>
        </is>
      </c>
      <c r="H7" s="23" t="inlineStr">
        <is>
          <t>Closing Meeting Comments</t>
        </is>
      </c>
      <c r="I7" s="22" t="inlineStr">
        <is>
          <t>Pending Status
(Open/ Closed)</t>
        </is>
      </c>
      <c r="J7" s="22" t="inlineStr">
        <is>
          <t>Timelines for 
Non-Closure Point</t>
        </is>
      </c>
    </row>
    <row r="8" ht="90" customHeight="1">
      <c r="A8" s="24" t="n">
        <v>1</v>
      </c>
      <c r="B8" s="25" t="inlineStr">
        <is>
          <t>Allocation Compliance</t>
        </is>
      </c>
      <c r="C8" s="25" t="inlineStr">
        <is>
          <t>Account to Collector Ratio – Not adequate</t>
        </is>
      </c>
      <c r="D8" s="26" t="inlineStr">
        <is>
          <t>Account to Collector Ratio – Stats need to be mentioned</t>
        </is>
      </c>
      <c r="E8" s="30" t="inlineStr">
        <is>
          <t>Only Observation Point</t>
        </is>
      </c>
      <c r="F8" s="27" t="inlineStr">
        <is>
          <t>Yes</t>
        </is>
      </c>
      <c r="G8" s="25" t="inlineStr">
        <is>
          <t>(Count of CRE) CRE allocated for (Total Allocation Count) cases in (month) for (portfolio) of Tata Capital</t>
        </is>
      </c>
      <c r="H8" s="25" t="inlineStr">
        <is>
          <t>NA</t>
        </is>
      </c>
      <c r="I8" s="25" t="inlineStr">
        <is>
          <t>NA</t>
        </is>
      </c>
      <c r="J8" s="25" t="inlineStr">
        <is>
          <t>NA</t>
        </is>
      </c>
    </row>
    <row r="9" ht="90" customHeight="1">
      <c r="A9" s="24" t="n">
        <v>2</v>
      </c>
      <c r="B9" s="25" t="inlineStr">
        <is>
          <t>Allocation Compliance</t>
        </is>
      </c>
      <c r="C9" s="25" t="inlineStr">
        <is>
          <t>Not All cases allocated to agency CREs</t>
        </is>
      </c>
      <c r="D9" s="26" t="inlineStr">
        <is>
          <t>Check whether all the cases allocated to agency in being allocated to CRE.</t>
        </is>
      </c>
      <c r="E9" s="30">
        <f>IF(F9="Yes",2,"0")</f>
        <v/>
      </c>
      <c r="F9" s="27" t="inlineStr">
        <is>
          <t>Yes</t>
        </is>
      </c>
      <c r="G9" s="25" t="inlineStr">
        <is>
          <t>Yes the same is complied.</t>
        </is>
      </c>
      <c r="H9" s="25" t="inlineStr">
        <is>
          <t>NA</t>
        </is>
      </c>
      <c r="I9" s="25" t="inlineStr">
        <is>
          <t>NA</t>
        </is>
      </c>
      <c r="J9" s="25" t="inlineStr">
        <is>
          <t>NA</t>
        </is>
      </c>
    </row>
    <row r="10" ht="90" customHeight="1">
      <c r="A10" s="24" t="n">
        <v>3</v>
      </c>
      <c r="B10" s="25" t="inlineStr">
        <is>
          <t>Call recording</t>
        </is>
      </c>
      <c r="C10" s="25" t="inlineStr">
        <is>
          <t>Call recording facility</t>
        </is>
      </c>
      <c r="D10" s="26" t="inlineStr">
        <is>
          <t>Whether Call recording facility is available at the agency &amp; is in working condition? Also, check whether all calls made to the customers via M collect App?</t>
        </is>
      </c>
      <c r="E10" s="30">
        <f>IF(F10="Yes",4,"0")</f>
        <v/>
      </c>
      <c r="F10" s="27" t="inlineStr">
        <is>
          <t>Yes</t>
        </is>
      </c>
      <c r="G10" s="25" t="inlineStr">
        <is>
          <t>Agency handles field visit cases only</t>
        </is>
      </c>
      <c r="H10" s="25" t="inlineStr">
        <is>
          <t>NA</t>
        </is>
      </c>
      <c r="I10" s="25" t="inlineStr">
        <is>
          <t>NA</t>
        </is>
      </c>
      <c r="J10" s="25" t="inlineStr">
        <is>
          <t>NA</t>
        </is>
      </c>
    </row>
    <row r="11" ht="90" customHeight="1">
      <c r="A11" s="24" t="n">
        <v>4</v>
      </c>
      <c r="B11" s="25" t="inlineStr">
        <is>
          <t>Call recording</t>
        </is>
      </c>
      <c r="C11" s="25" t="inlineStr">
        <is>
          <t>Call recording Storage/Maintenance</t>
        </is>
      </c>
      <c r="D11" s="26" t="inlineStr">
        <is>
          <t>Whether call recording data is maintained as per policy? Also, check whether agency has done calling via M Collect App? Whether 100% call recording is done and maintained by the agency &amp; retrieved all sample calls provided during audit?(Dialler + M-Collect)</t>
        </is>
      </c>
      <c r="E11" s="30">
        <f>IF(F11="Yes",4,"0")</f>
        <v/>
      </c>
      <c r="F11" s="27" t="inlineStr">
        <is>
          <t>Yes</t>
        </is>
      </c>
      <c r="G11" s="25" t="inlineStr">
        <is>
          <t>Yes the same is complied</t>
        </is>
      </c>
      <c r="H11" s="25" t="inlineStr">
        <is>
          <t>NA</t>
        </is>
      </c>
      <c r="I11" s="25" t="inlineStr">
        <is>
          <t>NA</t>
        </is>
      </c>
      <c r="J11" s="25" t="inlineStr">
        <is>
          <t>NA</t>
        </is>
      </c>
    </row>
    <row r="12" ht="90" customHeight="1">
      <c r="A12" s="24" t="n">
        <v>5</v>
      </c>
      <c r="B12" s="25" t="inlineStr">
        <is>
          <t>TCOC</t>
        </is>
      </c>
      <c r="C12" s="25" t="inlineStr">
        <is>
          <t>Telephone Etiquette not followed</t>
        </is>
      </c>
      <c r="D12" s="26" t="inlineStr">
        <is>
          <t>Whether telephone etiquette is followed in calls? Any Non Compliance as per code of conduct &amp; TCOC also if any Misbehaviour observed in calls to be noted.</t>
        </is>
      </c>
      <c r="E12" s="30">
        <f>IF(F12="Yes",3,"0")</f>
        <v/>
      </c>
      <c r="F12" s="27" t="inlineStr">
        <is>
          <t>Yes</t>
        </is>
      </c>
      <c r="G12" s="25" t="inlineStr">
        <is>
          <t>Agency handles field visit cases only</t>
        </is>
      </c>
      <c r="H12" s="25" t="inlineStr">
        <is>
          <t>NA</t>
        </is>
      </c>
      <c r="I12" s="25" t="inlineStr">
        <is>
          <t>NA</t>
        </is>
      </c>
      <c r="J12" s="25" t="inlineStr">
        <is>
          <t>NA</t>
        </is>
      </c>
    </row>
    <row r="13" ht="90" customHeight="1">
      <c r="A13" s="24" t="n">
        <v>6</v>
      </c>
      <c r="B13" s="25" t="inlineStr">
        <is>
          <t>TCOC</t>
        </is>
      </c>
      <c r="C13" s="25" t="inlineStr">
        <is>
          <t>Pseudo names</t>
        </is>
      </c>
      <c r="D13" s="26" t="inlineStr">
        <is>
          <t>Check whether tele callers using pseudo names?</t>
        </is>
      </c>
      <c r="E13" s="30">
        <f>IF(F13="Yes",1,"0")</f>
        <v/>
      </c>
      <c r="F13" s="27" t="inlineStr">
        <is>
          <t>Yes</t>
        </is>
      </c>
      <c r="G13" s="25" t="inlineStr">
        <is>
          <t>Agency handles field visit cases only</t>
        </is>
      </c>
      <c r="H13" s="25" t="inlineStr">
        <is>
          <t>NA</t>
        </is>
      </c>
      <c r="I13" s="25" t="inlineStr">
        <is>
          <t>NA</t>
        </is>
      </c>
      <c r="J13" s="25" t="inlineStr">
        <is>
          <t>NA</t>
        </is>
      </c>
    </row>
    <row r="14" ht="90" customHeight="1">
      <c r="A14" s="24" t="n">
        <v>7</v>
      </c>
      <c r="B14" s="25" t="inlineStr">
        <is>
          <t>TCOC</t>
        </is>
      </c>
      <c r="C14" s="25" t="inlineStr">
        <is>
          <t>TCL Posters</t>
        </is>
      </c>
      <c r="D14" s="26" t="inlineStr">
        <is>
          <t>Whether the Code of Conduct posters/ Collections Dos and Don'ts/ any other communication displayed in the offices?</t>
        </is>
      </c>
      <c r="E14" s="30">
        <f>IF(F14="Yes",2,"0")</f>
        <v/>
      </c>
      <c r="F14" s="27" t="inlineStr">
        <is>
          <t>Yes</t>
        </is>
      </c>
      <c r="G14" s="25" t="inlineStr">
        <is>
          <t>Yes the same is complied</t>
        </is>
      </c>
      <c r="H14" s="25" t="inlineStr">
        <is>
          <t>NA</t>
        </is>
      </c>
      <c r="I14" s="25" t="inlineStr">
        <is>
          <t>NA</t>
        </is>
      </c>
      <c r="J14" s="25" t="inlineStr">
        <is>
          <t>NA</t>
        </is>
      </c>
    </row>
    <row r="15" ht="99.90000000000001" customHeight="1">
      <c r="A15" s="24" t="n">
        <v>8</v>
      </c>
      <c r="B15" s="25" t="inlineStr">
        <is>
          <t>TCOC</t>
        </is>
      </c>
      <c r="C15" s="25" t="inlineStr">
        <is>
          <t>TCOC training by TCL Collection Manager</t>
        </is>
      </c>
      <c r="D15" s="26" t="inlineStr">
        <is>
          <t>Whether all agents are trained on the Tata code of conduct and are well dressed while on field ? (Need to check the acknowledgement of the training given by CM) 
Authorisation Letter - Sign by Collection Manager must required with CRE's details</t>
        </is>
      </c>
      <c r="E15" s="30">
        <f>IF(F15="Yes",2,"0")</f>
        <v/>
      </c>
      <c r="F15" s="37" t="inlineStr">
        <is>
          <t>No</t>
        </is>
      </c>
      <c r="G15" s="38" t="inlineStr">
        <is>
          <t>Training letter was not provided at the time of audit.</t>
        </is>
      </c>
      <c r="H15" s="38" t="inlineStr">
        <is>
          <t>(Closure remarks)</t>
        </is>
      </c>
      <c r="I15" s="38" t="inlineStr">
        <is>
          <t>(Open/Closed)</t>
        </is>
      </c>
      <c r="J15" s="38" t="inlineStr">
        <is>
          <t>(Timeline)</t>
        </is>
      </c>
    </row>
    <row r="16" ht="90" customHeight="1">
      <c r="A16" s="24" t="n">
        <v>9</v>
      </c>
      <c r="B16" s="25" t="inlineStr">
        <is>
          <t>TCOC</t>
        </is>
      </c>
      <c r="C16" s="25" t="inlineStr">
        <is>
          <t>COC declaration from all Agents must be stored</t>
        </is>
      </c>
      <c r="D16" s="26" t="inlineStr">
        <is>
          <t>Collection agency need to be taken declaration on code of conduct from all CRE's and this must be stored.</t>
        </is>
      </c>
      <c r="E16" s="30">
        <f>IF(F16="Yes",2,"0")</f>
        <v/>
      </c>
      <c r="F16" s="37" t="inlineStr">
        <is>
          <t>No</t>
        </is>
      </c>
      <c r="G16" s="38" t="inlineStr">
        <is>
          <t>Cutting/Overwriting was found on the Code of conduct declaration</t>
        </is>
      </c>
      <c r="H16" s="38" t="inlineStr">
        <is>
          <t>(Closure remarks)</t>
        </is>
      </c>
      <c r="I16" s="38" t="inlineStr">
        <is>
          <t>(Open/Closed)</t>
        </is>
      </c>
      <c r="J16" s="38" t="inlineStr">
        <is>
          <t>(Timeline)</t>
        </is>
      </c>
    </row>
    <row r="17" ht="90" customHeight="1">
      <c r="A17" s="24" t="n">
        <v>10</v>
      </c>
      <c r="B17" s="25" t="inlineStr">
        <is>
          <t>Cash Collection</t>
        </is>
      </c>
      <c r="C17" s="25" t="inlineStr">
        <is>
          <t>Cash Collection limit of 2 Lacs breached</t>
        </is>
      </c>
      <c r="D17" s="26" t="inlineStr">
        <is>
          <t>- Whether agency CRE has collected cash more than Rs. 1.99 lacs at any point in time during the Emi Months? (Sum of collected amount to be checked as per Loan No./customer name)
- PAN at the time of collecting cash more than Rs. 49k</t>
        </is>
      </c>
      <c r="E17" s="30">
        <f>IF(F17="Yes",2,"0")</f>
        <v/>
      </c>
      <c r="F17" s="27" t="inlineStr">
        <is>
          <t>Yes</t>
        </is>
      </c>
      <c r="G17" s="25" t="inlineStr">
        <is>
          <t>Yes the same is complied</t>
        </is>
      </c>
      <c r="H17" s="25" t="inlineStr">
        <is>
          <t>NA</t>
        </is>
      </c>
      <c r="I17" s="25" t="inlineStr">
        <is>
          <t>NA</t>
        </is>
      </c>
      <c r="J17" s="25" t="inlineStr">
        <is>
          <t>NA</t>
        </is>
      </c>
    </row>
    <row r="18" ht="90" customHeight="1">
      <c r="A18" s="24" t="n">
        <v>11</v>
      </c>
      <c r="B18" s="25" t="inlineStr">
        <is>
          <t>Cash Collection</t>
        </is>
      </c>
      <c r="C18" s="25" t="inlineStr">
        <is>
          <t>Deposit delay seen during sample check</t>
        </is>
      </c>
      <c r="D18" s="26" t="inlineStr">
        <is>
          <t>Whether the agency ensures that collections deposited within the TAT?Is there any instance of delayed deposition (More than 2 Days), If so, how many such instances are there</t>
        </is>
      </c>
      <c r="E18" s="30">
        <f>IF(F18="Yes",4,"0")</f>
        <v/>
      </c>
      <c r="F18" s="37" t="inlineStr">
        <is>
          <t>No</t>
        </is>
      </c>
      <c r="G18" s="38" t="inlineStr">
        <is>
          <t>Collection was not deposited within TAT</t>
        </is>
      </c>
      <c r="H18" s="38" t="inlineStr">
        <is>
          <t>(Closure remarks)</t>
        </is>
      </c>
      <c r="I18" s="38" t="inlineStr">
        <is>
          <t>(Open/Closed)</t>
        </is>
      </c>
      <c r="J18" s="38" t="inlineStr">
        <is>
          <t>(Timeline)</t>
        </is>
      </c>
    </row>
    <row r="19" ht="90" customHeight="1">
      <c r="A19" s="24" t="n">
        <v>12</v>
      </c>
      <c r="B19" s="25" t="inlineStr">
        <is>
          <t>Cash Collection</t>
        </is>
      </c>
      <c r="C19" s="25" t="inlineStr">
        <is>
          <t>Unauthorized transaction in customer account</t>
        </is>
      </c>
      <c r="D19" s="26" t="inlineStr">
        <is>
          <t xml:space="preserve">Unauthorized transaction in customer account, For Example-Payment done on behalf of Customer or accepting payment in CRE's personal account (GPay, Paytm or any other wallet/bank account). </t>
        </is>
      </c>
      <c r="E19" s="30">
        <f>IF(F19="Yes",3,"0")</f>
        <v/>
      </c>
      <c r="F19" s="27" t="inlineStr">
        <is>
          <t>Yes</t>
        </is>
      </c>
      <c r="G19" s="25" t="inlineStr">
        <is>
          <t>Yes the same is complied</t>
        </is>
      </c>
      <c r="H19" s="25" t="inlineStr">
        <is>
          <t>NA</t>
        </is>
      </c>
      <c r="I19" s="25" t="inlineStr">
        <is>
          <t>NA</t>
        </is>
      </c>
      <c r="J19" s="25" t="inlineStr">
        <is>
          <t>NA</t>
        </is>
      </c>
    </row>
    <row r="20" ht="90" customHeight="1">
      <c r="A20" s="24" t="n">
        <v>13</v>
      </c>
      <c r="B20" s="25" t="inlineStr">
        <is>
          <t>Cash Collection</t>
        </is>
      </c>
      <c r="C20" s="25" t="inlineStr">
        <is>
          <t>Multiple Receipt with Multiple Pin Code</t>
        </is>
      </c>
      <c r="D20" s="26" t="inlineStr">
        <is>
          <t>M-Collect Receipts issuance data to be reviewed, in case any CRE issuing unrealistic no. of receipts, reasons to be check</t>
        </is>
      </c>
      <c r="E20" s="30" t="inlineStr">
        <is>
          <t>Only Observation Point</t>
        </is>
      </c>
      <c r="F20" s="37" t="inlineStr">
        <is>
          <t>No</t>
        </is>
      </c>
      <c r="G20" s="38" t="inlineStr">
        <is>
          <t>An unrealistic number of receipts were issued in a single day by the CRE/Agency</t>
        </is>
      </c>
      <c r="H20" s="38" t="inlineStr">
        <is>
          <t>(Closure remarks)</t>
        </is>
      </c>
      <c r="I20" s="38" t="inlineStr">
        <is>
          <t>(Open/Closed)</t>
        </is>
      </c>
      <c r="J20" s="38" t="inlineStr">
        <is>
          <t>(Timeline)</t>
        </is>
      </c>
    </row>
    <row r="21" ht="90" customHeight="1">
      <c r="A21" s="24" t="n">
        <v>14</v>
      </c>
      <c r="B21" s="25" t="inlineStr">
        <is>
          <t>Cash Collection</t>
        </is>
      </c>
      <c r="C21" s="25" t="inlineStr">
        <is>
          <t>Receipts Issuance in Non Working Hours</t>
        </is>
      </c>
      <c r="D21" s="26" t="inlineStr">
        <is>
          <t xml:space="preserve">Any instance where M-Collect Receipt has been issued in Non-Working Hours </t>
        </is>
      </c>
      <c r="E21" s="30">
        <f>IF(F21="Yes",3,"0")</f>
        <v/>
      </c>
      <c r="F21" s="37" t="inlineStr">
        <is>
          <t>No</t>
        </is>
      </c>
      <c r="G21" s="38" t="inlineStr">
        <is>
          <t>M-Collect receipt was issued during non-working hours</t>
        </is>
      </c>
      <c r="H21" s="38" t="inlineStr">
        <is>
          <t>(Closure remarks)</t>
        </is>
      </c>
      <c r="I21" s="38" t="inlineStr">
        <is>
          <t>(Open/Closed)</t>
        </is>
      </c>
      <c r="J21" s="38" t="inlineStr">
        <is>
          <t>(Timeline)</t>
        </is>
      </c>
    </row>
    <row r="22" ht="90" customHeight="1">
      <c r="A22" s="24" t="n">
        <v>15</v>
      </c>
      <c r="B22" s="25" t="inlineStr">
        <is>
          <t>Cash Collection</t>
        </is>
      </c>
      <c r="C22" s="25" t="inlineStr">
        <is>
          <t>Receipts issuance by other Agency</t>
        </is>
      </c>
      <c r="D22" s="26" t="inlineStr">
        <is>
          <t>Any Receipts issued by the agency which is not in allocation Or CM/ Off role are issuing receipts instead of same agency</t>
        </is>
      </c>
      <c r="E22" s="30" t="inlineStr">
        <is>
          <t>Only Observation Point</t>
        </is>
      </c>
      <c r="F22" s="27" t="inlineStr">
        <is>
          <t>Yes</t>
        </is>
      </c>
      <c r="G22" s="25" t="inlineStr">
        <is>
          <t>Yes the same is complied</t>
        </is>
      </c>
      <c r="H22" s="25" t="inlineStr">
        <is>
          <t>NA</t>
        </is>
      </c>
      <c r="I22" s="25" t="inlineStr">
        <is>
          <t>NA</t>
        </is>
      </c>
      <c r="J22" s="25" t="inlineStr">
        <is>
          <t>NA</t>
        </is>
      </c>
    </row>
    <row r="23" ht="90" customHeight="1">
      <c r="A23" s="24" t="n">
        <v>16</v>
      </c>
      <c r="B23" s="25" t="inlineStr">
        <is>
          <t>Cash Collection</t>
        </is>
      </c>
      <c r="C23" s="25" t="inlineStr">
        <is>
          <t>Customer payment not deposited to agency or TCL</t>
        </is>
      </c>
      <c r="D23" s="26" t="inlineStr">
        <is>
          <t>Any instances where the CRE collected the money from the customer but the same was not deposited In customer account/not deposited to agency/not deposited in TCL?</t>
        </is>
      </c>
      <c r="E23" s="30">
        <f>IF(F23="Yes",2,"0")</f>
        <v/>
      </c>
      <c r="F23" s="27" t="inlineStr">
        <is>
          <t>Yes</t>
        </is>
      </c>
      <c r="G23" s="25" t="inlineStr">
        <is>
          <t>Yes the same is complied</t>
        </is>
      </c>
      <c r="H23" s="25" t="inlineStr">
        <is>
          <t>NA</t>
        </is>
      </c>
      <c r="I23" s="25" t="inlineStr">
        <is>
          <t>NA</t>
        </is>
      </c>
      <c r="J23" s="25" t="inlineStr">
        <is>
          <t>NA</t>
        </is>
      </c>
    </row>
    <row r="24" ht="90" customHeight="1">
      <c r="A24" s="24" t="n">
        <v>17</v>
      </c>
      <c r="B24" s="25" t="inlineStr">
        <is>
          <t>Data Security</t>
        </is>
      </c>
      <c r="C24" s="25" t="inlineStr">
        <is>
          <t>Agency system has no restrictions hence data may fall into wrong hands</t>
        </is>
      </c>
      <c r="D24" s="26" t="inlineStr">
        <is>
          <t>Whether agency has restricted access of Desktop / Laptops/ Emails are enabled? Check whether agency do not have access of USB/Floppy/CD drives/Google Drive/Cloud storage/share drive/WhatsApp/any data sharing application for data transfer?</t>
        </is>
      </c>
      <c r="E24" s="30">
        <f>IF(F24="Yes",3,"0")</f>
        <v/>
      </c>
      <c r="F24" s="37" t="inlineStr">
        <is>
          <t>No</t>
        </is>
      </c>
      <c r="G24" s="38" t="inlineStr">
        <is>
          <t>Unauthorized software is installed on the TCL system.</t>
        </is>
      </c>
      <c r="H24" s="38" t="inlineStr">
        <is>
          <t>NA</t>
        </is>
      </c>
      <c r="I24" s="38" t="inlineStr">
        <is>
          <t>NA</t>
        </is>
      </c>
      <c r="J24" s="38" t="inlineStr">
        <is>
          <t>NA</t>
        </is>
      </c>
    </row>
    <row r="25" ht="90" customHeight="1">
      <c r="A25" s="24" t="n">
        <v>18</v>
      </c>
      <c r="B25" s="25" t="inlineStr">
        <is>
          <t>Data Security</t>
        </is>
      </c>
      <c r="C25" s="25" t="inlineStr">
        <is>
          <t>Allocation files were not password protected</t>
        </is>
      </c>
      <c r="D25" s="26" t="inlineStr">
        <is>
          <t>Whether data shared through mail are password protected / appropriate security measures are adopted by agency?</t>
        </is>
      </c>
      <c r="E25" s="30">
        <f>IF(F25="Yes",2,"0")</f>
        <v/>
      </c>
      <c r="F25" s="37" t="inlineStr">
        <is>
          <t>No</t>
        </is>
      </c>
      <c r="G25" s="38" t="inlineStr">
        <is>
          <t>No sent mails are available in the email ID used for TCL.</t>
        </is>
      </c>
      <c r="H25" s="38" t="inlineStr">
        <is>
          <t>(Closure remarks)</t>
        </is>
      </c>
      <c r="I25" s="38" t="inlineStr">
        <is>
          <t>(Open/Closed)</t>
        </is>
      </c>
      <c r="J25" s="38" t="inlineStr">
        <is>
          <t>(Timeline)</t>
        </is>
      </c>
    </row>
    <row r="26" ht="110.1" customHeight="1">
      <c r="A26" s="24" t="n">
        <v>19</v>
      </c>
      <c r="B26" s="25" t="inlineStr">
        <is>
          <t>Data Security</t>
        </is>
      </c>
      <c r="C26" s="25" t="inlineStr">
        <is>
          <t>Data is being shared on unregistered email ids</t>
        </is>
      </c>
      <c r="D26" s="26" t="inlineStr">
        <is>
          <t>Whether any mail containing financial institution's data sent to third party / unregistered mail Ids / unauthorized sharing? Customer Call/Chat on unauthorized channels like what's ap/Facebook or any other unauthorized mode of communication? In case agency using secondary mail id, it must be documented with TCL team.</t>
        </is>
      </c>
      <c r="E26" s="30">
        <f>IF(F26="Yes",3,"0")</f>
        <v/>
      </c>
      <c r="F26" s="27" t="inlineStr">
        <is>
          <t>Yes</t>
        </is>
      </c>
      <c r="G26" s="25" t="inlineStr">
        <is>
          <t>Yes the same is complied</t>
        </is>
      </c>
      <c r="H26" s="25" t="inlineStr">
        <is>
          <t>NA</t>
        </is>
      </c>
      <c r="I26" s="25" t="inlineStr">
        <is>
          <t>NA</t>
        </is>
      </c>
      <c r="J26" s="25" t="inlineStr">
        <is>
          <t>NA</t>
        </is>
      </c>
    </row>
    <row r="27" ht="90" customHeight="1">
      <c r="A27" s="24" t="n">
        <v>20</v>
      </c>
      <c r="B27" s="25" t="inlineStr">
        <is>
          <t>Data Security</t>
        </is>
      </c>
      <c r="C27" s="25" t="inlineStr">
        <is>
          <t>Data purging is not being done – Old allocation files were available in agency's system</t>
        </is>
      </c>
      <c r="D27" s="26" t="inlineStr">
        <is>
          <t xml:space="preserve">Whether agency has purged data as per policy? </t>
        </is>
      </c>
      <c r="E27" s="30">
        <f>IF(F27="Yes",3,"0")</f>
        <v/>
      </c>
      <c r="F27" s="37" t="inlineStr">
        <is>
          <t>No</t>
        </is>
      </c>
      <c r="G27" s="38" t="inlineStr">
        <is>
          <t>Data not purged from mail/system as per TCL process</t>
        </is>
      </c>
      <c r="H27" s="38" t="inlineStr">
        <is>
          <t>NA</t>
        </is>
      </c>
      <c r="I27" s="38" t="inlineStr">
        <is>
          <t>NA</t>
        </is>
      </c>
      <c r="J27" s="38" t="inlineStr">
        <is>
          <t>NA</t>
        </is>
      </c>
    </row>
    <row r="28" ht="90" customHeight="1">
      <c r="A28" s="24" t="n">
        <v>21</v>
      </c>
      <c r="B28" s="25" t="inlineStr">
        <is>
          <t>Data Security</t>
        </is>
      </c>
      <c r="C28" s="25" t="inlineStr">
        <is>
          <t>Data Retention</t>
        </is>
      </c>
      <c r="D28" s="26" t="inlineStr">
        <is>
          <t>Whether data has been retained at the agency's system and Email ID as per policy (T+3 months)?</t>
        </is>
      </c>
      <c r="E28" s="30">
        <f>IF(F28="Yes",2,"0")</f>
        <v/>
      </c>
      <c r="F28" s="27" t="inlineStr">
        <is>
          <t>Yes</t>
        </is>
      </c>
      <c r="G28" s="25" t="inlineStr">
        <is>
          <t>Yes the same is complied</t>
        </is>
      </c>
      <c r="H28" s="25" t="inlineStr">
        <is>
          <t>NA</t>
        </is>
      </c>
      <c r="I28" s="25" t="inlineStr">
        <is>
          <t>NA</t>
        </is>
      </c>
      <c r="J28" s="25" t="inlineStr">
        <is>
          <t>NA</t>
        </is>
      </c>
    </row>
    <row r="29" ht="90" customHeight="1">
      <c r="A29" s="24" t="n">
        <v>22</v>
      </c>
      <c r="B29" s="25" t="inlineStr">
        <is>
          <t>Data Security</t>
        </is>
      </c>
      <c r="C29" s="25" t="inlineStr">
        <is>
          <t>Agency system has no restrictions hence data may fall into wrong hands</t>
        </is>
      </c>
      <c r="D29" s="26" t="inlineStr">
        <is>
          <t>Check whether agency do not have access of any internal access tool like SFDC/DMS/Any other tool?</t>
        </is>
      </c>
      <c r="E29" s="30">
        <f>IF(F29="Yes",1,"0")</f>
        <v/>
      </c>
      <c r="F29" s="27" t="inlineStr">
        <is>
          <t>Yes</t>
        </is>
      </c>
      <c r="G29" s="25" t="inlineStr">
        <is>
          <t>Yes the same is complied</t>
        </is>
      </c>
      <c r="H29" s="25" t="inlineStr">
        <is>
          <t>NA</t>
        </is>
      </c>
      <c r="I29" s="25" t="inlineStr">
        <is>
          <t>NA</t>
        </is>
      </c>
      <c r="J29" s="25" t="inlineStr">
        <is>
          <t>NA</t>
        </is>
      </c>
    </row>
    <row r="30" ht="90" customHeight="1">
      <c r="A30" s="24" t="n">
        <v>23</v>
      </c>
      <c r="B30" s="25" t="inlineStr">
        <is>
          <t>Data Security</t>
        </is>
      </c>
      <c r="C30" s="25" t="inlineStr">
        <is>
          <t>No exclusive system provided to TCL portfolio</t>
        </is>
      </c>
      <c r="D30" s="26" t="inlineStr">
        <is>
          <t>Whether separate/exclusive system, Place/work Station, Email ID and Manpower is provided?</t>
        </is>
      </c>
      <c r="E30" s="30">
        <f>IF(F30="Yes",3,"0")</f>
        <v/>
      </c>
      <c r="F30" s="27" t="inlineStr">
        <is>
          <t>Yes</t>
        </is>
      </c>
      <c r="G30" s="25" t="inlineStr">
        <is>
          <t>Yes the same is complied</t>
        </is>
      </c>
      <c r="H30" s="25" t="inlineStr">
        <is>
          <t>NA</t>
        </is>
      </c>
      <c r="I30" s="25" t="inlineStr">
        <is>
          <t>NA</t>
        </is>
      </c>
      <c r="J30" s="25" t="inlineStr">
        <is>
          <t>NA</t>
        </is>
      </c>
    </row>
    <row r="31" ht="90" customHeight="1">
      <c r="A31" s="24" t="n">
        <v>24</v>
      </c>
      <c r="B31" s="25" t="inlineStr">
        <is>
          <t>Infra and others</t>
        </is>
      </c>
      <c r="C31" s="25" t="inlineStr">
        <is>
          <t>Current address is not updated to TCL</t>
        </is>
      </c>
      <c r="D31" s="26" t="inlineStr">
        <is>
          <t>Whether agency has updated address &amp; other details in company records and, In case agency providing services in multiple locations to TCL Collection then it must be documented with TCL team.</t>
        </is>
      </c>
      <c r="E31" s="30">
        <f>IF(F31="Yes",1,"0")</f>
        <v/>
      </c>
      <c r="F31" s="27" t="inlineStr">
        <is>
          <t>Yes</t>
        </is>
      </c>
      <c r="G31" s="25" t="inlineStr">
        <is>
          <t>Yes the same is complied</t>
        </is>
      </c>
      <c r="H31" s="25" t="inlineStr">
        <is>
          <t>NA</t>
        </is>
      </c>
      <c r="I31" s="25" t="inlineStr">
        <is>
          <t>NA</t>
        </is>
      </c>
      <c r="J31" s="25" t="inlineStr">
        <is>
          <t>NA</t>
        </is>
      </c>
    </row>
    <row r="32" ht="90" customHeight="1">
      <c r="A32" s="24" t="n">
        <v>25</v>
      </c>
      <c r="B32" s="25" t="inlineStr">
        <is>
          <t>Infra and others</t>
        </is>
      </c>
      <c r="C32" s="25" t="inlineStr">
        <is>
          <t>Not cooperated by agency during audit</t>
        </is>
      </c>
      <c r="D32" s="26" t="inlineStr">
        <is>
          <t>Whether full cooperation/complete &amp; timely data was received from agency for completing audit?</t>
        </is>
      </c>
      <c r="E32" s="30">
        <f>IF(F32="Yes",1,"0")</f>
        <v/>
      </c>
      <c r="F32" s="27" t="inlineStr">
        <is>
          <t>Yes</t>
        </is>
      </c>
      <c r="G32" s="25" t="inlineStr">
        <is>
          <t>Yes the same is complied</t>
        </is>
      </c>
      <c r="H32" s="25" t="inlineStr">
        <is>
          <t>NA</t>
        </is>
      </c>
      <c r="I32" s="25" t="inlineStr">
        <is>
          <t>NA</t>
        </is>
      </c>
      <c r="J32" s="25" t="inlineStr">
        <is>
          <t>NA</t>
        </is>
      </c>
    </row>
    <row r="33" ht="90" customHeight="1">
      <c r="A33" s="24" t="n">
        <v>26</v>
      </c>
      <c r="B33" s="25" t="inlineStr">
        <is>
          <t>Infra and others</t>
        </is>
      </c>
      <c r="C33" s="25" t="inlineStr">
        <is>
          <t>Vendor code not created</t>
        </is>
      </c>
      <c r="D33" s="26" t="inlineStr">
        <is>
          <t>Whether allocation for Collection cases as well for repossession cases given to the agency post vendor code creation only?</t>
        </is>
      </c>
      <c r="E33" s="30">
        <f>IF(F33="Yes",1,"0")</f>
        <v/>
      </c>
      <c r="F33" s="37" t="inlineStr">
        <is>
          <t>No</t>
        </is>
      </c>
      <c r="G33" s="38" t="inlineStr">
        <is>
          <t>Allocation was provided to the agency prior to the creation of the vendor code.</t>
        </is>
      </c>
      <c r="H33" s="38" t="inlineStr">
        <is>
          <t>(Closure remarks)</t>
        </is>
      </c>
      <c r="I33" s="38" t="inlineStr">
        <is>
          <t>(Open/Closed)</t>
        </is>
      </c>
      <c r="J33" s="38" t="inlineStr">
        <is>
          <t>(Timeline)</t>
        </is>
      </c>
    </row>
    <row r="34" ht="90" customHeight="1">
      <c r="A34" s="24" t="n">
        <v>27</v>
      </c>
      <c r="B34" s="25" t="inlineStr">
        <is>
          <t>Infra and others</t>
        </is>
      </c>
      <c r="C34" s="25" t="inlineStr">
        <is>
          <t>Tata capital's name being used in agency office</t>
        </is>
      </c>
      <c r="D34" s="26" t="inlineStr">
        <is>
          <t>Has the agency made any reference to company's name on the his's name board &amp; e-mail ?</t>
        </is>
      </c>
      <c r="E34" s="30">
        <f>IF(F34="Yes",1,"0")</f>
        <v/>
      </c>
      <c r="F34" s="27" t="inlineStr">
        <is>
          <t>Yes</t>
        </is>
      </c>
      <c r="G34" s="25" t="inlineStr">
        <is>
          <t>Yes the same is complied</t>
        </is>
      </c>
      <c r="H34" s="25" t="inlineStr">
        <is>
          <t>NA</t>
        </is>
      </c>
      <c r="I34" s="25" t="inlineStr">
        <is>
          <t>NA</t>
        </is>
      </c>
      <c r="J34" s="25" t="inlineStr">
        <is>
          <t>NA</t>
        </is>
      </c>
    </row>
    <row r="35" ht="90" customHeight="1">
      <c r="A35" s="24" t="n">
        <v>28</v>
      </c>
      <c r="B35" s="25" t="inlineStr">
        <is>
          <t>Identity cards</t>
        </is>
      </c>
      <c r="C35" s="25" t="inlineStr">
        <is>
          <t>All CREs have valid ID Cards of TCL</t>
        </is>
      </c>
      <c r="D35" s="26" t="inlineStr">
        <is>
          <t>Whether all active CREs working for TCL portfolio having Digital ID Cards with them? Also, check whether any executive using unauthorized ID card while on field?</t>
        </is>
      </c>
      <c r="E35" s="30">
        <f>IF(F35="Yes",3,"0")</f>
        <v/>
      </c>
      <c r="F35" s="37" t="inlineStr">
        <is>
          <t>No</t>
        </is>
      </c>
      <c r="G35" s="38" t="inlineStr">
        <is>
          <t>CRE was found working with an inactive ID Card</t>
        </is>
      </c>
      <c r="H35" s="38" t="inlineStr">
        <is>
          <t>(Closure remarks)</t>
        </is>
      </c>
      <c r="I35" s="38" t="inlineStr">
        <is>
          <t>(Open/Closed)</t>
        </is>
      </c>
      <c r="J35" s="38" t="inlineStr">
        <is>
          <t>(Timeline)</t>
        </is>
      </c>
    </row>
    <row r="36" ht="90" customHeight="1">
      <c r="A36" s="24" t="n">
        <v>29</v>
      </c>
      <c r="B36" s="25" t="inlineStr">
        <is>
          <t>Identity cards</t>
        </is>
      </c>
      <c r="C36" s="25" t="inlineStr">
        <is>
          <t>If assigned CRE resigned/terminated it is not communicated to TCL</t>
        </is>
      </c>
      <c r="D36" s="26" t="inlineStr">
        <is>
          <t>In case of resignation / termination of any executive whether it is communicated within TAT of 24 hours; (M-collect ID should be deactivated )</t>
        </is>
      </c>
      <c r="E36" s="30">
        <f>IF(F36="Yes",2,"0")</f>
        <v/>
      </c>
      <c r="F36" s="27" t="inlineStr">
        <is>
          <t>Yes</t>
        </is>
      </c>
      <c r="G36" s="25" t="inlineStr">
        <is>
          <t>Yes the same is complied</t>
        </is>
      </c>
      <c r="H36" s="25" t="inlineStr">
        <is>
          <t>NA</t>
        </is>
      </c>
      <c r="I36" s="25" t="inlineStr">
        <is>
          <t>NA</t>
        </is>
      </c>
      <c r="J36" s="25" t="inlineStr">
        <is>
          <t>NA</t>
        </is>
      </c>
    </row>
    <row r="37" ht="90" customHeight="1">
      <c r="A37" s="24" t="n">
        <v>30</v>
      </c>
      <c r="B37" s="25" t="inlineStr">
        <is>
          <t>Identity cards</t>
        </is>
      </c>
      <c r="C37" s="25" t="inlineStr">
        <is>
          <t>Not all CREs have M Collect ID's</t>
        </is>
      </c>
      <c r="D37" s="26" t="inlineStr">
        <is>
          <t xml:space="preserve">Whether all active CRE has M-collect ID in system? (M-collect should be active)
Is there M-collect ID of any CRE being used by another CRE? </t>
        </is>
      </c>
      <c r="E37" s="30">
        <f>IF(F37="Yes",4,"0")</f>
        <v/>
      </c>
      <c r="F37" s="27" t="inlineStr">
        <is>
          <t>Yes</t>
        </is>
      </c>
      <c r="G37" s="25" t="inlineStr">
        <is>
          <t>Yes the same is complied</t>
        </is>
      </c>
      <c r="H37" s="25" t="inlineStr">
        <is>
          <t>NA</t>
        </is>
      </c>
      <c r="I37" s="25" t="inlineStr">
        <is>
          <t>NA</t>
        </is>
      </c>
      <c r="J37" s="25" t="inlineStr">
        <is>
          <t>NA</t>
        </is>
      </c>
    </row>
    <row r="38" ht="90" customHeight="1">
      <c r="A38" s="24" t="n">
        <v>31</v>
      </c>
      <c r="B38" s="25" t="inlineStr">
        <is>
          <t>Identity cards</t>
        </is>
      </c>
      <c r="C38" s="25" t="inlineStr">
        <is>
          <t>PV report not available</t>
        </is>
      </c>
      <c r="D38" s="26" t="inlineStr">
        <is>
          <t xml:space="preserve">Whether all agency executives, backends, Supervisor,Proprieter, CRE's Police verification are vetted &amp; no negative Police verification CRE's are working at the agency? </t>
        </is>
      </c>
      <c r="E38" s="30">
        <f>IF(F38="Yes",2,"0")</f>
        <v/>
      </c>
      <c r="F38" s="27" t="inlineStr">
        <is>
          <t>Yes</t>
        </is>
      </c>
      <c r="G38" s="25" t="inlineStr">
        <is>
          <t>Yes the same is complied</t>
        </is>
      </c>
      <c r="H38" s="25" t="inlineStr">
        <is>
          <t>NA</t>
        </is>
      </c>
      <c r="I38" s="25" t="inlineStr">
        <is>
          <t>NA</t>
        </is>
      </c>
      <c r="J38" s="25" t="inlineStr">
        <is>
          <t>NA</t>
        </is>
      </c>
    </row>
    <row r="39" ht="90" customHeight="1">
      <c r="A39" s="24" t="n">
        <v>32</v>
      </c>
      <c r="B39" s="25" t="inlineStr">
        <is>
          <t>Repossession Process</t>
        </is>
      </c>
      <c r="C39" s="25" t="inlineStr">
        <is>
          <t>Expired repo kit used/NCM Approval not taken before repossession</t>
        </is>
      </c>
      <c r="D39" s="26" t="inlineStr">
        <is>
          <t>Whether agency has returned all unused repo kits within 5 days of expiry?
Whether NCM approval taken before initiating repossession on email/System?</t>
        </is>
      </c>
      <c r="E39" s="30" t="inlineStr">
        <is>
          <t>Only Observation Point</t>
        </is>
      </c>
      <c r="F39" s="27" t="inlineStr">
        <is>
          <t>Yes</t>
        </is>
      </c>
      <c r="G39" s="25" t="inlineStr">
        <is>
          <t>Yes the same is complied</t>
        </is>
      </c>
      <c r="H39" s="25" t="inlineStr">
        <is>
          <t>NA</t>
        </is>
      </c>
      <c r="I39" s="25" t="inlineStr">
        <is>
          <t>NA</t>
        </is>
      </c>
      <c r="J39" s="25" t="inlineStr">
        <is>
          <t>NA</t>
        </is>
      </c>
    </row>
    <row r="40" ht="90" customHeight="1">
      <c r="A40" s="24" t="n">
        <v>33</v>
      </c>
      <c r="B40" s="25" t="inlineStr">
        <is>
          <t>Repossession Process</t>
        </is>
      </c>
      <c r="C40" s="25" t="inlineStr">
        <is>
          <t>Indemnity bond and newspaper publication not issued after repo kit loss</t>
        </is>
      </c>
      <c r="D40" s="26" t="inlineStr">
        <is>
          <t>Whether FIR, indemnity bond on stamp paper &amp; Newspaper cut-out of published Notice for Loss / theft of repo kit is submitted by Agency as per format in case of lost/stolen repo kit &amp; updated in repo kit tracker ?</t>
        </is>
      </c>
      <c r="E40" s="30">
        <f>IF(F40="Yes",1,"0")</f>
        <v/>
      </c>
      <c r="F40" s="27" t="inlineStr">
        <is>
          <t>Yes</t>
        </is>
      </c>
      <c r="G40" s="25" t="inlineStr">
        <is>
          <t>No such case observed</t>
        </is>
      </c>
      <c r="H40" s="25" t="inlineStr">
        <is>
          <t>NA</t>
        </is>
      </c>
      <c r="I40" s="25" t="inlineStr">
        <is>
          <t>NA</t>
        </is>
      </c>
      <c r="J40" s="25" t="inlineStr">
        <is>
          <t>NA</t>
        </is>
      </c>
    </row>
    <row r="41" ht="90" customHeight="1">
      <c r="A41" s="24" t="n">
        <v>34</v>
      </c>
      <c r="B41" s="25" t="inlineStr">
        <is>
          <t>Repossession Process</t>
        </is>
      </c>
      <c r="C41" s="25" t="inlineStr">
        <is>
          <t>Repossession done without valid Repo Kit</t>
        </is>
      </c>
      <c r="D41" s="26" t="inlineStr">
        <is>
          <t>Check whether any Repo done without valid repo kit?  The repo date and repo kit issuance date should be validated.</t>
        </is>
      </c>
      <c r="E41" s="30">
        <f>IF(F41="Yes",1,"0")</f>
        <v/>
      </c>
      <c r="F41" s="27" t="inlineStr">
        <is>
          <t>Yes</t>
        </is>
      </c>
      <c r="G41" s="25" t="inlineStr">
        <is>
          <t>Yes the same is complied</t>
        </is>
      </c>
      <c r="H41" s="25" t="inlineStr">
        <is>
          <t>NA</t>
        </is>
      </c>
      <c r="I41" s="25" t="inlineStr">
        <is>
          <t>NA</t>
        </is>
      </c>
      <c r="J41" s="25" t="inlineStr">
        <is>
          <t>NA</t>
        </is>
      </c>
    </row>
    <row r="42" ht="90" customHeight="1">
      <c r="A42" s="24" t="n">
        <v>35</v>
      </c>
      <c r="B42" s="25" t="inlineStr">
        <is>
          <t>Repossession Process</t>
        </is>
      </c>
      <c r="C42" s="25" t="inlineStr">
        <is>
          <t>Repo Kit Return Delay by agency</t>
        </is>
      </c>
      <c r="D42" s="26" t="inlineStr">
        <is>
          <t>Whether possession kit along with all the documents are to be dispatched to the Central team/Branch within 2 business days from the time of deposition of repossessed asset in the yard?</t>
        </is>
      </c>
      <c r="E42" s="30">
        <f>IF(F42="Yes",2,"0")</f>
        <v/>
      </c>
      <c r="F42" s="27" t="inlineStr">
        <is>
          <t>Yes</t>
        </is>
      </c>
      <c r="G42" s="25" t="inlineStr">
        <is>
          <t>Yes the same is complied</t>
        </is>
      </c>
      <c r="H42" s="25" t="inlineStr">
        <is>
          <t>NA</t>
        </is>
      </c>
      <c r="I42" s="25" t="inlineStr">
        <is>
          <t>NA</t>
        </is>
      </c>
      <c r="J42" s="25" t="inlineStr">
        <is>
          <t>NA</t>
        </is>
      </c>
    </row>
    <row r="43" ht="90" customHeight="1">
      <c r="A43" s="24" t="n">
        <v>36</v>
      </c>
      <c r="B43" s="25" t="inlineStr">
        <is>
          <t>Repossession Process</t>
        </is>
      </c>
      <c r="C43" s="25" t="inlineStr">
        <is>
          <t>LRN/PRN not issued</t>
        </is>
      </c>
      <c r="D43" s="26" t="inlineStr">
        <is>
          <t>Loan recall notice/Pre repossession notice must be issued before initiation of repossession. Has the LRN cooling-off period been followed before repossession?</t>
        </is>
      </c>
      <c r="E43" s="30">
        <f>IF(F43="Yes",1,"0")</f>
        <v/>
      </c>
      <c r="F43" s="27" t="inlineStr">
        <is>
          <t>Yes</t>
        </is>
      </c>
      <c r="G43" s="25" t="inlineStr">
        <is>
          <t>Yes the same is complied</t>
        </is>
      </c>
      <c r="H43" s="25" t="inlineStr">
        <is>
          <t>NA</t>
        </is>
      </c>
      <c r="I43" s="25" t="inlineStr">
        <is>
          <t>NA</t>
        </is>
      </c>
      <c r="J43" s="25" t="inlineStr">
        <is>
          <t>NA</t>
        </is>
      </c>
    </row>
    <row r="44" ht="90" customHeight="1">
      <c r="A44" s="24" t="n">
        <v>37</v>
      </c>
      <c r="B44" s="25" t="inlineStr">
        <is>
          <t>Repossession Process</t>
        </is>
      </c>
      <c r="C44" s="25" t="inlineStr">
        <is>
          <t>Repo kits were not filled correctly/Cutting/overwriting on repo kits</t>
        </is>
      </c>
      <c r="D44" s="26" t="inlineStr">
        <is>
          <t>Have the repo kits been filled completely and correctly &amp; no cuttings/alterations/ over writing on the repo kits. Also check whether proper Notarization is done and valid date and sign available wherever required and Pre/Post police  intimation is done within TAT.</t>
        </is>
      </c>
      <c r="E44" s="30">
        <f>IF(F44="Yes",4,"0")</f>
        <v/>
      </c>
      <c r="F44" s="27" t="inlineStr">
        <is>
          <t>Yes</t>
        </is>
      </c>
      <c r="G44" s="25" t="inlineStr">
        <is>
          <t>Yes the same is complied</t>
        </is>
      </c>
      <c r="H44" s="25" t="inlineStr">
        <is>
          <t>NA</t>
        </is>
      </c>
      <c r="I44" s="25" t="inlineStr">
        <is>
          <t>NA</t>
        </is>
      </c>
      <c r="J44" s="25" t="inlineStr">
        <is>
          <t>NA</t>
        </is>
      </c>
    </row>
    <row r="45" ht="90" customHeight="1">
      <c r="A45" s="24" t="n">
        <v>38</v>
      </c>
      <c r="B45" s="25" t="inlineStr">
        <is>
          <t>Repossession Process</t>
        </is>
      </c>
      <c r="C45" s="25" t="inlineStr">
        <is>
          <t>Repo Kit issuance request are not placed on email/letter head</t>
        </is>
      </c>
      <c r="D45" s="26" t="inlineStr">
        <is>
          <t>Whether the agency has raised standard repo kit issuance request through its registered Email ID/ Letter Head in case of offline repo kit used on Exceptional cases?</t>
        </is>
      </c>
      <c r="E45" s="30">
        <f>IF(F45="Yes",1,"0")</f>
        <v/>
      </c>
      <c r="F45" s="27" t="inlineStr">
        <is>
          <t>Yes</t>
        </is>
      </c>
      <c r="G45" s="25" t="inlineStr">
        <is>
          <t>Yes the same is complied</t>
        </is>
      </c>
      <c r="H45" s="25" t="inlineStr">
        <is>
          <t>NA</t>
        </is>
      </c>
      <c r="I45" s="25" t="inlineStr">
        <is>
          <t>NA</t>
        </is>
      </c>
      <c r="J45" s="25" t="inlineStr">
        <is>
          <t>NA</t>
        </is>
      </c>
    </row>
    <row r="46" ht="90" customHeight="1">
      <c r="A46" s="24" t="n">
        <v>39</v>
      </c>
      <c r="B46" s="25" t="inlineStr">
        <is>
          <t>Repossession Process</t>
        </is>
      </c>
      <c r="C46" s="25" t="inlineStr">
        <is>
          <t>Repo Kit Tracker data maintained</t>
        </is>
      </c>
      <c r="D46" s="26" t="inlineStr">
        <is>
          <t>Whether the agency maintains Repo kit Tracker in the blue book every month?</t>
        </is>
      </c>
      <c r="E46" s="30">
        <f>IF(F46="Yes",2,"0")</f>
        <v/>
      </c>
      <c r="F46" s="27" t="inlineStr">
        <is>
          <t>Yes</t>
        </is>
      </c>
      <c r="G46" s="25" t="inlineStr">
        <is>
          <t>Yes the same is complied</t>
        </is>
      </c>
      <c r="H46" s="25" t="inlineStr">
        <is>
          <t>NA</t>
        </is>
      </c>
      <c r="I46" s="25" t="inlineStr">
        <is>
          <t>NA</t>
        </is>
      </c>
      <c r="J46" s="25" t="inlineStr">
        <is>
          <t>NA</t>
        </is>
      </c>
    </row>
    <row r="47" ht="90" customHeight="1">
      <c r="A47" s="24" t="n">
        <v>40</v>
      </c>
      <c r="B47" s="25" t="inlineStr">
        <is>
          <t>Repossession Process</t>
        </is>
      </c>
      <c r="C47" s="25" t="inlineStr">
        <is>
          <t>Repo Kit register not maintained by agency</t>
        </is>
      </c>
      <c r="D47" s="26" t="inlineStr">
        <is>
          <t>Whether agency fill all the necessary details in the Repo Tracker which is available in the blue book every month?</t>
        </is>
      </c>
      <c r="E47" s="30">
        <f>IF(F47="Yes",2,"0")</f>
        <v/>
      </c>
      <c r="F47" s="27" t="inlineStr">
        <is>
          <t>Yes</t>
        </is>
      </c>
      <c r="G47" s="25" t="inlineStr">
        <is>
          <t>Yes the same is complied</t>
        </is>
      </c>
      <c r="H47" s="25" t="inlineStr">
        <is>
          <t>NA</t>
        </is>
      </c>
      <c r="I47" s="25" t="inlineStr">
        <is>
          <t>NA</t>
        </is>
      </c>
      <c r="J47" s="25" t="inlineStr">
        <is>
          <t>NA</t>
        </is>
      </c>
    </row>
    <row r="48" ht="90" customHeight="1">
      <c r="A48" s="24" t="n">
        <v>41</v>
      </c>
      <c r="B48" s="25" t="inlineStr">
        <is>
          <t>Repossession Process</t>
        </is>
      </c>
      <c r="C48" s="25" t="inlineStr">
        <is>
          <t>Vehicles deposited in the yard within TAT</t>
        </is>
      </c>
      <c r="D48" s="26" t="inlineStr">
        <is>
          <t>Are all the vehicles deposited in the yard within the TAT?</t>
        </is>
      </c>
      <c r="E48" s="30">
        <f>IF(F48="Yes",1,"0")</f>
        <v/>
      </c>
      <c r="F48" s="27" t="inlineStr">
        <is>
          <t>Yes</t>
        </is>
      </c>
      <c r="G48" s="25" t="inlineStr">
        <is>
          <t>Yes the same is complied</t>
        </is>
      </c>
      <c r="H48" s="25" t="inlineStr">
        <is>
          <t>NA</t>
        </is>
      </c>
      <c r="I48" s="25" t="inlineStr">
        <is>
          <t>NA</t>
        </is>
      </c>
      <c r="J48" s="25" t="inlineStr">
        <is>
          <t>NA</t>
        </is>
      </c>
    </row>
    <row r="49" ht="90" customHeight="1">
      <c r="A49" s="24" t="n">
        <v>42</v>
      </c>
      <c r="B49" s="25" t="inlineStr">
        <is>
          <t>Record Management</t>
        </is>
      </c>
      <c r="C49" s="25" t="inlineStr">
        <is>
          <t>Collection Deposit sheets not maintained by agency office</t>
        </is>
      </c>
      <c r="D49" s="26" t="inlineStr">
        <is>
          <t>Whether Collection deposit slips maintain by agency?</t>
        </is>
      </c>
      <c r="E49" s="30" t="inlineStr">
        <is>
          <t>Only Observation Point</t>
        </is>
      </c>
      <c r="F49" s="27" t="inlineStr">
        <is>
          <t>Yes</t>
        </is>
      </c>
      <c r="G49" s="25" t="inlineStr">
        <is>
          <t>Yes the same is complied</t>
        </is>
      </c>
      <c r="H49" s="25" t="inlineStr">
        <is>
          <t>NA</t>
        </is>
      </c>
      <c r="I49" s="25" t="inlineStr">
        <is>
          <t>NA</t>
        </is>
      </c>
      <c r="J49" s="25" t="inlineStr">
        <is>
          <t>NA</t>
        </is>
      </c>
    </row>
    <row r="50" ht="90" customHeight="1">
      <c r="A50" s="24" t="n">
        <v>43</v>
      </c>
      <c r="B50" s="25" t="inlineStr">
        <is>
          <t>Record Management</t>
        </is>
      </c>
      <c r="C50" s="25" t="inlineStr">
        <is>
          <t>Feedback file not shared on daily basis</t>
        </is>
      </c>
      <c r="D50" s="26" t="inlineStr">
        <is>
          <t>Whether all allocated cases feedback are getting reviewed by collection manager every month?</t>
        </is>
      </c>
      <c r="E50" s="30">
        <f>IF(F50="Yes",1,"0")</f>
        <v/>
      </c>
      <c r="F50" s="27" t="inlineStr">
        <is>
          <t>Yes</t>
        </is>
      </c>
      <c r="G50" s="25" t="inlineStr">
        <is>
          <t>Yes the same is complied</t>
        </is>
      </c>
      <c r="H50" s="25" t="inlineStr">
        <is>
          <t>NA</t>
        </is>
      </c>
      <c r="I50" s="25" t="inlineStr">
        <is>
          <t>NA</t>
        </is>
      </c>
      <c r="J50" s="25" t="inlineStr">
        <is>
          <t>NA</t>
        </is>
      </c>
    </row>
    <row r="51" ht="90" customHeight="1">
      <c r="A51" s="24" t="n">
        <v>44</v>
      </c>
      <c r="B51" s="25" t="inlineStr">
        <is>
          <t>Record Management</t>
        </is>
      </c>
      <c r="C51" s="25" t="inlineStr">
        <is>
          <t xml:space="preserve">TCOC training not recorded </t>
        </is>
      </c>
      <c r="D51" s="26" t="inlineStr">
        <is>
          <t>Whether Training tracker in the Blue Book has been properly filled with all necessary fields and maintained at agency?</t>
        </is>
      </c>
      <c r="E51" s="30">
        <f>IF(F51="Yes",2,"0")</f>
        <v/>
      </c>
      <c r="F51" s="27" t="inlineStr">
        <is>
          <t>Yes</t>
        </is>
      </c>
      <c r="G51" s="25" t="inlineStr">
        <is>
          <t>Yes the same is complied</t>
        </is>
      </c>
      <c r="H51" s="25" t="inlineStr">
        <is>
          <t>NA</t>
        </is>
      </c>
      <c r="I51" s="25" t="inlineStr">
        <is>
          <t>NA</t>
        </is>
      </c>
      <c r="J51" s="25" t="inlineStr">
        <is>
          <t>NA</t>
        </is>
      </c>
    </row>
    <row r="52" ht="90" customHeight="1">
      <c r="A52" s="24" t="n">
        <v>45</v>
      </c>
      <c r="B52" s="25" t="inlineStr">
        <is>
          <t>Record Management</t>
        </is>
      </c>
      <c r="C52" s="25" t="inlineStr">
        <is>
          <t>Trails are not being updated at 100%</t>
        </is>
      </c>
      <c r="D52" s="26" t="inlineStr">
        <is>
          <t>Whether 100% of trails uploaded by agency for cases allocated to them? All trails are uploaded should be quality trails.</t>
        </is>
      </c>
      <c r="E52" s="30">
        <f>IF(F52="Yes",1,"0")</f>
        <v/>
      </c>
      <c r="F52" s="27" t="inlineStr">
        <is>
          <t>Yes</t>
        </is>
      </c>
      <c r="G52" s="25" t="inlineStr">
        <is>
          <t>Yes the same is complied</t>
        </is>
      </c>
      <c r="H52" s="25" t="inlineStr">
        <is>
          <t>NA</t>
        </is>
      </c>
      <c r="I52" s="25" t="inlineStr">
        <is>
          <t>NA</t>
        </is>
      </c>
      <c r="J52" s="25" t="inlineStr">
        <is>
          <t>NA</t>
        </is>
      </c>
    </row>
    <row r="53" ht="90" customHeight="1">
      <c r="A53" s="24" t="n">
        <v>46</v>
      </c>
      <c r="B53" s="25" t="inlineStr">
        <is>
          <t>Record Management</t>
        </is>
      </c>
      <c r="C53" s="25" t="inlineStr">
        <is>
          <t>Vendor agreement not available at agency office</t>
        </is>
      </c>
      <c r="D53" s="26" t="inlineStr">
        <is>
          <t xml:space="preserve">Whether the valid vendor agreement and the latest pay-out grid maintained at the agency? </t>
        </is>
      </c>
      <c r="E53" s="30">
        <f>IF(F53="Yes",1,"0")</f>
        <v/>
      </c>
      <c r="F53" s="37" t="inlineStr">
        <is>
          <t>No</t>
        </is>
      </c>
      <c r="G53" s="38" t="inlineStr">
        <is>
          <t>Vendor agreement is not available with the agency (Collection/Repossession)</t>
        </is>
      </c>
      <c r="H53" s="38" t="inlineStr">
        <is>
          <t>(Closure remarks)</t>
        </is>
      </c>
      <c r="I53" s="38" t="inlineStr">
        <is>
          <t>(Open/Closed)</t>
        </is>
      </c>
      <c r="J53" s="38" t="inlineStr">
        <is>
          <t>(Timeline)</t>
        </is>
      </c>
    </row>
    <row r="54" ht="90" customHeight="1">
      <c r="A54" s="24" t="n">
        <v>47</v>
      </c>
      <c r="B54" s="25" t="inlineStr">
        <is>
          <t>Record Management</t>
        </is>
      </c>
      <c r="C54" s="25" t="inlineStr">
        <is>
          <t>Collection agents are DRA Certified</t>
        </is>
      </c>
      <c r="D54" s="26" t="inlineStr">
        <is>
          <t>Check whether all CRE's are DRA Certified?</t>
        </is>
      </c>
      <c r="E54" s="30">
        <f>IF(F54="Yes",1,"0")</f>
        <v/>
      </c>
      <c r="F54" s="37" t="inlineStr">
        <is>
          <t>No</t>
        </is>
      </c>
      <c r="G54" s="38" t="inlineStr">
        <is>
          <t>DRA certificate of the CRE was not found at the time of the audit.</t>
        </is>
      </c>
      <c r="H54" s="38" t="inlineStr">
        <is>
          <t>(Closure remarks)</t>
        </is>
      </c>
      <c r="I54" s="38" t="inlineStr">
        <is>
          <t>(Open/Closed)</t>
        </is>
      </c>
      <c r="J54" s="38" t="inlineStr">
        <is>
          <t>(Timeline)</t>
        </is>
      </c>
    </row>
    <row r="55" ht="90" customHeight="1">
      <c r="A55" s="24" t="n">
        <v>48</v>
      </c>
      <c r="B55" s="25" t="inlineStr">
        <is>
          <t>Record Management</t>
        </is>
      </c>
      <c r="C55" s="25" t="inlineStr">
        <is>
          <t>Blue Book</t>
        </is>
      </c>
      <c r="D55" s="26" t="inlineStr">
        <is>
          <t>Whether blue book is available at the Agency?</t>
        </is>
      </c>
      <c r="E55" s="30">
        <f>IF(F55="Yes",1,"0")</f>
        <v/>
      </c>
      <c r="F55" s="27" t="inlineStr">
        <is>
          <t>Yes</t>
        </is>
      </c>
      <c r="G55" s="25" t="inlineStr">
        <is>
          <t>Yes the same is complied</t>
        </is>
      </c>
      <c r="H55" s="25" t="inlineStr">
        <is>
          <t>NA</t>
        </is>
      </c>
      <c r="I55" s="25" t="inlineStr">
        <is>
          <t>NA</t>
        </is>
      </c>
      <c r="J55" s="25" t="inlineStr">
        <is>
          <t>NA</t>
        </is>
      </c>
    </row>
    <row r="56" ht="90" customHeight="1">
      <c r="A56" s="24" t="n">
        <v>49</v>
      </c>
      <c r="B56" s="25" t="inlineStr">
        <is>
          <t>Record Management</t>
        </is>
      </c>
      <c r="C56" s="25" t="inlineStr">
        <is>
          <t>Declaration cum undertaking in blue book</t>
        </is>
      </c>
      <c r="D56" s="26" t="inlineStr">
        <is>
          <t>Whether Declaration Cum Undertaking is filled and signed by the agency and CM/CCM in the Blue Book every month?</t>
        </is>
      </c>
      <c r="E56" s="30">
        <f>IF(F56="Yes",1,"0")</f>
        <v/>
      </c>
      <c r="F56" s="27" t="inlineStr">
        <is>
          <t>Yes</t>
        </is>
      </c>
      <c r="G56" s="25" t="inlineStr">
        <is>
          <t>Yes the same is complied</t>
        </is>
      </c>
      <c r="H56" s="25" t="inlineStr">
        <is>
          <t>NA</t>
        </is>
      </c>
      <c r="I56" s="25" t="inlineStr">
        <is>
          <t>NA</t>
        </is>
      </c>
      <c r="J56" s="25" t="inlineStr">
        <is>
          <t>NA</t>
        </is>
      </c>
    </row>
    <row r="57" ht="90" customHeight="1">
      <c r="A57" s="24" t="n">
        <v>50</v>
      </c>
      <c r="B57" s="25" t="inlineStr">
        <is>
          <t>Record Management</t>
        </is>
      </c>
      <c r="C57" s="25" t="inlineStr">
        <is>
          <t>Monthly Audit and Compliance Checkpoints</t>
        </is>
      </c>
      <c r="D57" s="26" t="inlineStr">
        <is>
          <t>Monthly Audit and Compliance checkpoints have been done and details to be correctly/completely filled and maintained at agency in the Blue Book?</t>
        </is>
      </c>
      <c r="E57" s="30">
        <f>IF(F57="Yes",1,"0")</f>
        <v/>
      </c>
      <c r="F57" s="27" t="inlineStr">
        <is>
          <t>Yes</t>
        </is>
      </c>
      <c r="G57" s="25" t="inlineStr">
        <is>
          <t>Yes the same is complied</t>
        </is>
      </c>
      <c r="H57" s="25" t="inlineStr">
        <is>
          <t>NA</t>
        </is>
      </c>
      <c r="I57" s="25" t="inlineStr">
        <is>
          <t>NA</t>
        </is>
      </c>
      <c r="J57" s="25" t="inlineStr">
        <is>
          <t>NA</t>
        </is>
      </c>
    </row>
    <row r="58" ht="90" customHeight="1">
      <c r="A58" s="24" t="n">
        <v>51</v>
      </c>
      <c r="B58" s="25" t="inlineStr">
        <is>
          <t>Record Management</t>
        </is>
      </c>
      <c r="C58" s="25" t="inlineStr">
        <is>
          <t xml:space="preserve">Infrastructure declaration </t>
        </is>
      </c>
      <c r="D58" s="26" t="inlineStr">
        <is>
          <t>Infrastructure declaration to be submitted by the agency every month in the blue book</t>
        </is>
      </c>
      <c r="E58" s="30">
        <f>IF(F58="Yes",1,"0")</f>
        <v/>
      </c>
      <c r="F58" s="27" t="inlineStr">
        <is>
          <t>Yes</t>
        </is>
      </c>
      <c r="G58" s="25" t="inlineStr">
        <is>
          <t>Yes the same is complied</t>
        </is>
      </c>
      <c r="H58" s="25" t="inlineStr">
        <is>
          <t>NA</t>
        </is>
      </c>
      <c r="I58" s="25" t="inlineStr">
        <is>
          <t>NA</t>
        </is>
      </c>
      <c r="J58" s="25" t="inlineStr">
        <is>
          <t>NA</t>
        </is>
      </c>
    </row>
    <row r="59" ht="90" customHeight="1">
      <c r="A59" s="24" t="n">
        <v>52</v>
      </c>
      <c r="B59" s="25" t="inlineStr">
        <is>
          <t>Record Management</t>
        </is>
      </c>
      <c r="C59" s="25" t="inlineStr">
        <is>
          <t>NDC not shared</t>
        </is>
      </c>
      <c r="D59" s="26" t="inlineStr">
        <is>
          <t>Whether NDC is provided by the agency on quarterly basis? 
Whether any pending bill is available at agency?(Only Observation)</t>
        </is>
      </c>
      <c r="E59" s="30">
        <f>IF(F59="Yes",1,"0")</f>
        <v/>
      </c>
      <c r="F59" s="37" t="inlineStr">
        <is>
          <t>No</t>
        </is>
      </c>
      <c r="G59" s="38" t="inlineStr">
        <is>
          <t>No Dues Certificate (NDC) mail not provided by the agency</t>
        </is>
      </c>
      <c r="H59" s="38" t="inlineStr">
        <is>
          <t>(Closure remarks)</t>
        </is>
      </c>
      <c r="I59" s="38" t="inlineStr">
        <is>
          <t>(Open/Closed)</t>
        </is>
      </c>
      <c r="J59" s="38" t="inlineStr">
        <is>
          <t>(Timeline)</t>
        </is>
      </c>
    </row>
    <row r="60" ht="90" customHeight="1">
      <c r="A60" s="24" t="n">
        <v>53</v>
      </c>
      <c r="B60" s="25" t="inlineStr">
        <is>
          <t>Record Management</t>
        </is>
      </c>
      <c r="C60" s="25" t="inlineStr">
        <is>
          <t>NDC not recorded in Blue Book</t>
        </is>
      </c>
      <c r="D60" s="26" t="inlineStr">
        <is>
          <t>No Dues Certificate to be printed and maintained and data to be recorded in the Blue Book.</t>
        </is>
      </c>
      <c r="E60" s="30">
        <f>IF(F60="Yes",1,"0")</f>
        <v/>
      </c>
      <c r="F60" s="37" t="inlineStr">
        <is>
          <t>No</t>
        </is>
      </c>
      <c r="G60" s="38" t="inlineStr">
        <is>
          <t>Complete/correct details are not recorded on the No Dues Certificate (NDC) sheet</t>
        </is>
      </c>
      <c r="H60" s="38" t="inlineStr">
        <is>
          <t>(Closure remarks)</t>
        </is>
      </c>
      <c r="I60" s="38" t="inlineStr">
        <is>
          <t>(Open/Closed)</t>
        </is>
      </c>
      <c r="J60" s="38" t="inlineStr">
        <is>
          <t>(Timeline)</t>
        </is>
      </c>
    </row>
    <row r="61" ht="90" customHeight="1">
      <c r="A61" s="24" t="n">
        <v>54</v>
      </c>
      <c r="B61" s="25" t="inlineStr">
        <is>
          <t>Record Management</t>
        </is>
      </c>
      <c r="C61" s="25" t="inlineStr">
        <is>
          <t>KYC of all agents not available</t>
        </is>
      </c>
      <c r="D61" s="26" t="inlineStr">
        <is>
          <t>Check whether All CRE's , Backend, Supervisor KYC maintained and Aadhaar masking done at Agency ? Also check whether OSV done For CRE's by Collection Team?</t>
        </is>
      </c>
      <c r="E61" s="30">
        <f>IF(F61="Yes",1,"0")</f>
        <v/>
      </c>
      <c r="F61" s="37" t="inlineStr">
        <is>
          <t>No</t>
        </is>
      </c>
      <c r="G61" s="38" t="inlineStr">
        <is>
          <t>Unmasked copy of CRE's Aadhaar Card was maintained at the agency., OSV has not been done for CREs by the collection team.</t>
        </is>
      </c>
      <c r="H61" s="38" t="inlineStr">
        <is>
          <t>(Closure remarks)</t>
        </is>
      </c>
      <c r="I61" s="38" t="inlineStr">
        <is>
          <t>(Open/Closed)</t>
        </is>
      </c>
      <c r="J61" s="38" t="inlineStr">
        <is>
          <t>(Timeline)</t>
        </is>
      </c>
    </row>
    <row r="62" ht="90" customHeight="1">
      <c r="A62" s="24" t="n">
        <v>55</v>
      </c>
      <c r="B62" s="25" t="inlineStr">
        <is>
          <t>Record Management</t>
        </is>
      </c>
      <c r="C62" s="25" t="inlineStr">
        <is>
          <t xml:space="preserve">Data Purging Declaration </t>
        </is>
      </c>
      <c r="D62" s="26" t="inlineStr">
        <is>
          <t>Whether agency has submitted Data Purging Declaration and recorded in the blue book every month? (T+3 months)</t>
        </is>
      </c>
      <c r="E62" s="30">
        <f>IF(F62="Yes",1,"0")</f>
        <v/>
      </c>
      <c r="F62" s="37" t="inlineStr">
        <is>
          <t>No</t>
        </is>
      </c>
      <c r="G62" s="38" t="inlineStr">
        <is>
          <t>Complete/correct details are not recorded in the Data Purging declaration</t>
        </is>
      </c>
      <c r="H62" s="38" t="inlineStr">
        <is>
          <t>(Closure remarks)</t>
        </is>
      </c>
      <c r="I62" s="38" t="inlineStr">
        <is>
          <t>(Open/Closed)</t>
        </is>
      </c>
      <c r="J62" s="38" t="inlineStr">
        <is>
          <t>(Timeline)</t>
        </is>
      </c>
    </row>
    <row r="63" ht="90" customHeight="1">
      <c r="A63" s="24" t="n">
        <v>56</v>
      </c>
      <c r="B63" s="25" t="inlineStr">
        <is>
          <t>Record Management</t>
        </is>
      </c>
      <c r="C63" s="25" t="inlineStr">
        <is>
          <t>Agency Manpower Register</t>
        </is>
      </c>
      <c r="D63" s="26" t="inlineStr">
        <is>
          <t>Whether all CRE details are captured in the agency manpower register in the Blue Book ?</t>
        </is>
      </c>
      <c r="E63" s="30">
        <f>IF(F63="Yes",1,"0")</f>
        <v/>
      </c>
      <c r="F63" s="27" t="inlineStr">
        <is>
          <t>Yes</t>
        </is>
      </c>
      <c r="G63" s="25" t="inlineStr">
        <is>
          <t>Yes the same is complied</t>
        </is>
      </c>
      <c r="H63" s="25" t="inlineStr">
        <is>
          <t>NA</t>
        </is>
      </c>
      <c r="I63" s="25" t="inlineStr">
        <is>
          <t>NA</t>
        </is>
      </c>
      <c r="J63" s="25" t="inlineStr">
        <is>
          <t>NA</t>
        </is>
      </c>
    </row>
    <row r="64" ht="90" customHeight="1">
      <c r="A64" s="24" t="n">
        <v>57</v>
      </c>
      <c r="B64" s="25" t="inlineStr">
        <is>
          <t>Record Management</t>
        </is>
      </c>
      <c r="C64" s="25" t="inlineStr">
        <is>
          <t>Vendor performance document not available at agency office</t>
        </is>
      </c>
      <c r="D64" s="26" t="inlineStr">
        <is>
          <t>Whether monthly vendor performance review is documented with complete &amp; correct details in blue book every month. All Allocated cases to be documented in blue book correctly. (To check/validate the same during audit).</t>
        </is>
      </c>
      <c r="E64" s="30">
        <f>IF(F64="Yes",1,"0")</f>
        <v/>
      </c>
      <c r="F64" s="37" t="inlineStr">
        <is>
          <t>No</t>
        </is>
      </c>
      <c r="G64" s="38" t="inlineStr">
        <is>
          <t>Complete/correct details are not recorded in the Vendor performance review</t>
        </is>
      </c>
      <c r="H64" s="38" t="inlineStr">
        <is>
          <t>(Closure remarks)</t>
        </is>
      </c>
      <c r="I64" s="38" t="inlineStr">
        <is>
          <t>(Open/Closed)</t>
        </is>
      </c>
      <c r="J64" s="38" t="inlineStr">
        <is>
          <t>(Timeline)</t>
        </is>
      </c>
    </row>
    <row r="65" ht="90" customHeight="1">
      <c r="A65" s="24" t="n">
        <v>58</v>
      </c>
      <c r="B65" s="25" t="inlineStr">
        <is>
          <t>Record Management</t>
        </is>
      </c>
      <c r="C65" s="25" t="inlineStr">
        <is>
          <t>Visitor register not available</t>
        </is>
      </c>
      <c r="D65" s="26" t="inlineStr">
        <is>
          <t>Whether agency maintains TCL visitor details in in Blue Book every month? Also, check if Manager / Senior manager visiting the agency signs the visiting register maintained at the agency.</t>
        </is>
      </c>
      <c r="E65" s="30">
        <f>IF(F65="Yes",1,"0")</f>
        <v/>
      </c>
      <c r="F65" s="37" t="inlineStr">
        <is>
          <t>No</t>
        </is>
      </c>
      <c r="G65" s="38" t="inlineStr">
        <is>
          <t>Complete/correct details are not recorded in the Visitor register</t>
        </is>
      </c>
      <c r="H65" s="38" t="inlineStr">
        <is>
          <t>(Closure remarks)</t>
        </is>
      </c>
      <c r="I65" s="38" t="inlineStr">
        <is>
          <t>(Open/Closed)</t>
        </is>
      </c>
      <c r="J65" s="38" t="inlineStr">
        <is>
          <t>(Timeline)</t>
        </is>
      </c>
    </row>
    <row r="66" ht="90" customHeight="1">
      <c r="A66" s="24" t="n">
        <v>59</v>
      </c>
      <c r="B66" s="25" t="inlineStr">
        <is>
          <t>Settlement Compliance</t>
        </is>
      </c>
      <c r="C66" s="25" t="inlineStr">
        <is>
          <t>Settlement non-compliance reported at agency</t>
        </is>
      </c>
      <c r="D66" s="26" t="inlineStr">
        <is>
          <t>Whether any Settlement non-compliance reported in agency? If yes then how many cases were there?
(Sample check of settlement cases to checked - required to verify this point)
For e.g. Is there any instances of money collected before settlement approval or void settlement?</t>
        </is>
      </c>
      <c r="E66" s="30">
        <f>IF(F66="Yes",2,"0")</f>
        <v/>
      </c>
      <c r="F66" s="27" t="inlineStr">
        <is>
          <t>Yes</t>
        </is>
      </c>
      <c r="G66" s="25" t="inlineStr">
        <is>
          <t>Yes the same is complied</t>
        </is>
      </c>
      <c r="H66" s="25" t="inlineStr">
        <is>
          <t>NA</t>
        </is>
      </c>
      <c r="I66" s="25" t="inlineStr">
        <is>
          <t>NA</t>
        </is>
      </c>
      <c r="J66" s="25" t="inlineStr">
        <is>
          <t>NA</t>
        </is>
      </c>
    </row>
    <row r="67" ht="90" customHeight="1">
      <c r="A67" s="24" t="n">
        <v>60</v>
      </c>
      <c r="B67" s="25" t="inlineStr">
        <is>
          <t>Settlement Compliance</t>
        </is>
      </c>
      <c r="C67" s="25" t="inlineStr">
        <is>
          <t>Settlement requests are not being shared with CM/RCM over email</t>
        </is>
      </c>
      <c r="D67" s="26" t="inlineStr">
        <is>
          <t>Whether Settlement requests being raised only after informing CM/RCM over email with proper details?</t>
        </is>
      </c>
      <c r="E67" s="30" t="inlineStr">
        <is>
          <t>Only Observation Point</t>
        </is>
      </c>
      <c r="F67" s="27" t="inlineStr">
        <is>
          <t>Yes</t>
        </is>
      </c>
      <c r="G67" s="25" t="inlineStr">
        <is>
          <t>No such case has been observed</t>
        </is>
      </c>
      <c r="H67" s="25" t="inlineStr">
        <is>
          <t>NA</t>
        </is>
      </c>
      <c r="I67" s="25" t="inlineStr">
        <is>
          <t>NA</t>
        </is>
      </c>
      <c r="J67" s="25" t="inlineStr">
        <is>
          <t>NA</t>
        </is>
      </c>
    </row>
    <row r="68" ht="159.9" customHeight="1">
      <c r="A68" s="24" t="n">
        <v>61</v>
      </c>
      <c r="B68" s="25" t="inlineStr">
        <is>
          <t>Miscellaneous</t>
        </is>
      </c>
      <c r="C68" s="25" t="inlineStr">
        <is>
          <t>Customer Escalations received</t>
        </is>
      </c>
      <c r="D68" s="26" t="inlineStr">
        <is>
          <t>Any escalations received from customer against Agency/agency CRE during the audit period and ratification action thereon as well as repetition of such instances in future. Whether any fraud reported by Agency/CRE during the last 1 year, if yes, brief details as well as current status thereof. 
In case any penalty has been levied same has been implemented or not, for e.g. Any CRE need to be removed as per Penalty matrix revert, need to check whether that CRE has been removed or not from TCL portfolios</t>
        </is>
      </c>
      <c r="E68" s="30" t="inlineStr">
        <is>
          <t>Only Observation Point</t>
        </is>
      </c>
      <c r="F68" s="27" t="inlineStr">
        <is>
          <t>Yes</t>
        </is>
      </c>
      <c r="G68" s="25" t="inlineStr">
        <is>
          <t>Yes the same is complied</t>
        </is>
      </c>
      <c r="H68" s="25" t="inlineStr">
        <is>
          <t>NA</t>
        </is>
      </c>
      <c r="I68" s="25" t="inlineStr">
        <is>
          <t>NA</t>
        </is>
      </c>
      <c r="J68" s="25" t="inlineStr">
        <is>
          <t>NA</t>
        </is>
      </c>
    </row>
    <row r="69">
      <c r="B69" s="32" t="n"/>
    </row>
    <row r="70">
      <c r="B70" s="32" t="n"/>
    </row>
    <row r="71">
      <c r="B71" s="32" t="n"/>
    </row>
    <row r="72">
      <c r="B72" s="32" t="n"/>
      <c r="E72" s="33" t="n"/>
    </row>
  </sheetData>
  <dataValidations count="2">
    <dataValidation sqref="D5:E5" showDropDown="0" showInputMessage="1" showErrorMessage="1" allowBlank="1" type="list">
      <formula1>"Collection Agency, Collection &amp; Repo Agency, Repo Agency"</formula1>
    </dataValidation>
    <dataValidation sqref="F8:F68" showDropDown="0" showInputMessage="1" showErrorMessage="1" allowBlank="1" type="list">
      <formula1>"Yes, No"</formula1>
    </dataValidation>
  </dataValidations>
  <pageMargins left="0.2362204724409449" right="0.2362204724409449" top="0.7480314960629921" bottom="0.7480314960629921" header="0.3149606299212598" footer="0.3149606299212598"/>
  <pageSetup orientation="portrait" paperSize="9" scale="50" fitToHeight="0"/>
</worksheet>
</file>

<file path=xl/worksheets/sheet2.xml><?xml version="1.0" encoding="utf-8"?>
<worksheet xmlns="http://schemas.openxmlformats.org/spreadsheetml/2006/main">
  <sheetPr>
    <outlinePr summaryBelow="1" summaryRight="1"/>
    <pageSetUpPr/>
  </sheetPr>
  <dimension ref="A1:G22"/>
  <sheetViews>
    <sheetView showGridLines="0" zoomScaleNormal="100" workbookViewId="0">
      <selection activeCell="E9" sqref="E9"/>
    </sheetView>
  </sheetViews>
  <sheetFormatPr baseColWidth="8" defaultColWidth="8.6640625" defaultRowHeight="13.8"/>
  <cols>
    <col width="10" bestFit="1" customWidth="1" style="9" min="1" max="1"/>
    <col width="19.109375" bestFit="1" customWidth="1" style="9" min="2" max="2"/>
    <col width="13.6640625" bestFit="1" customWidth="1" style="9" min="3" max="3"/>
    <col width="14" bestFit="1" customWidth="1" style="9" min="4" max="4"/>
    <col width="10.44140625" bestFit="1" customWidth="1" style="9" min="5" max="5"/>
    <col width="14.44140625" bestFit="1" customWidth="1" style="9" min="6" max="6"/>
    <col width="8.6640625" customWidth="1" style="9" min="7" max="16384"/>
  </cols>
  <sheetData>
    <row r="1">
      <c r="A1" s="3" t="inlineStr">
        <is>
          <t>S. No.</t>
        </is>
      </c>
      <c r="B1" s="4" t="inlineStr">
        <is>
          <t>Particulars</t>
        </is>
      </c>
      <c r="C1" s="3" t="inlineStr">
        <is>
          <t>Key Points</t>
        </is>
      </c>
      <c r="D1" s="3" t="inlineStr">
        <is>
          <t>Weightage</t>
        </is>
      </c>
      <c r="E1" s="3" t="inlineStr">
        <is>
          <t>Actual</t>
        </is>
      </c>
      <c r="F1" s="3" t="inlineStr">
        <is>
          <t>Percentage</t>
        </is>
      </c>
    </row>
    <row r="2">
      <c r="A2" s="5" t="n">
        <v>1</v>
      </c>
      <c r="B2" s="19" t="inlineStr">
        <is>
          <t>Allocation Compliance</t>
        </is>
      </c>
      <c r="C2" s="2">
        <f>COUNTIF(Checklist!$B$7:$B$77,B2)</f>
        <v/>
      </c>
      <c r="D2" s="6" t="n">
        <v>2</v>
      </c>
      <c r="E2" s="6">
        <f>SUMIF(Checklist!$B$7:$B$68,'Score Parameters'!B2,Checklist!$E$7:$E$68)</f>
        <v/>
      </c>
      <c r="F2" s="7">
        <f>IFERROR(E2/D2,"-")</f>
        <v/>
      </c>
      <c r="G2" s="10" t="n"/>
    </row>
    <row r="3">
      <c r="A3" s="5" t="n">
        <v>2</v>
      </c>
      <c r="B3" s="19" t="inlineStr">
        <is>
          <t>Call recording</t>
        </is>
      </c>
      <c r="C3" s="2">
        <f>COUNTIF(Checklist!$B$7:$B$77,B3)</f>
        <v/>
      </c>
      <c r="D3" s="6" t="n">
        <v>8</v>
      </c>
      <c r="E3" s="6">
        <f>SUMIF(Checklist!$B$7:$B$68,'Score Parameters'!B3,Checklist!$E$7:$E$68)</f>
        <v/>
      </c>
      <c r="F3" s="7">
        <f>IFERROR(E3/D3,"-")</f>
        <v/>
      </c>
      <c r="G3" s="10" t="n"/>
    </row>
    <row r="4">
      <c r="A4" s="5" t="n">
        <v>3</v>
      </c>
      <c r="B4" s="19" t="inlineStr">
        <is>
          <t>TCOC</t>
        </is>
      </c>
      <c r="C4" s="2">
        <f>COUNTIF(Checklist!$B$7:$B$77,B4)</f>
        <v/>
      </c>
      <c r="D4" s="6" t="n">
        <v>10</v>
      </c>
      <c r="E4" s="6">
        <f>SUMIF(Checklist!$B$7:$B$68,'Score Parameters'!B4,Checklist!$E$7:$E$68)</f>
        <v/>
      </c>
      <c r="F4" s="7">
        <f>IFERROR(E4/D4,"-")</f>
        <v/>
      </c>
      <c r="G4" s="10" t="n"/>
    </row>
    <row r="5">
      <c r="A5" s="5" t="n">
        <v>4</v>
      </c>
      <c r="B5" s="19" t="inlineStr">
        <is>
          <t>Cash Collection</t>
        </is>
      </c>
      <c r="C5" s="2">
        <f>COUNTIF(Checklist!$B$7:$B$77,B5)</f>
        <v/>
      </c>
      <c r="D5" s="6" t="n">
        <v>14</v>
      </c>
      <c r="E5" s="6">
        <f>SUMIF(Checklist!$B$7:$B$68,'Score Parameters'!B5,Checklist!$E$7:$E$68)</f>
        <v/>
      </c>
      <c r="F5" s="7">
        <f>IFERROR(E5/D5,"-")</f>
        <v/>
      </c>
      <c r="G5" s="10" t="n"/>
    </row>
    <row r="6">
      <c r="A6" s="5" t="n">
        <v>5</v>
      </c>
      <c r="B6" s="19" t="inlineStr">
        <is>
          <t>Data Security</t>
        </is>
      </c>
      <c r="C6" s="2">
        <f>COUNTIF(Checklist!$B$7:$B$77,B6)</f>
        <v/>
      </c>
      <c r="D6" s="6" t="n">
        <v>17</v>
      </c>
      <c r="E6" s="6">
        <f>SUMIF(Checklist!$B$7:$B$68,'Score Parameters'!B6,Checklist!$E$7:$E$68)</f>
        <v/>
      </c>
      <c r="F6" s="7">
        <f>IFERROR(E6/D6,"-")</f>
        <v/>
      </c>
      <c r="G6" s="10" t="n"/>
    </row>
    <row r="7">
      <c r="A7" s="5" t="n">
        <v>6</v>
      </c>
      <c r="B7" s="19" t="inlineStr">
        <is>
          <t>Infra and others</t>
        </is>
      </c>
      <c r="C7" s="2">
        <f>COUNTIF(Checklist!$B$7:$B$77,B7)</f>
        <v/>
      </c>
      <c r="D7" s="6" t="n">
        <v>4</v>
      </c>
      <c r="E7" s="6">
        <f>SUMIF(Checklist!$B$7:$B$68,'Score Parameters'!B7,Checklist!$E$7:$E$68)</f>
        <v/>
      </c>
      <c r="F7" s="7">
        <f>IFERROR(E7/D7,"-")</f>
        <v/>
      </c>
      <c r="G7" s="10" t="n"/>
    </row>
    <row r="8">
      <c r="A8" s="5" t="n">
        <v>7</v>
      </c>
      <c r="B8" s="19" t="inlineStr">
        <is>
          <t>Identity cards</t>
        </is>
      </c>
      <c r="C8" s="2">
        <f>COUNTIF(Checklist!$B$7:$B$77,B8)</f>
        <v/>
      </c>
      <c r="D8" s="6" t="n">
        <v>11</v>
      </c>
      <c r="E8" s="6">
        <f>SUMIF(Checklist!$B$7:$B$68,'Score Parameters'!B8,Checklist!$E$7:$E$68)</f>
        <v/>
      </c>
      <c r="F8" s="7">
        <f>IFERROR(E8/D8,"-")</f>
        <v/>
      </c>
      <c r="G8" s="10" t="n"/>
    </row>
    <row r="9">
      <c r="A9" s="5" t="n">
        <v>8</v>
      </c>
      <c r="B9" s="19" t="inlineStr">
        <is>
          <t>Repossession Process</t>
        </is>
      </c>
      <c r="C9" s="2">
        <f>COUNTIF(Checklist!$B$7:$B$77,B9)</f>
        <v/>
      </c>
      <c r="D9" s="6" t="n">
        <v>15</v>
      </c>
      <c r="E9" s="6">
        <f>SUMIF(Checklist!$B$7:$B$68,'Score Parameters'!B9,Checklist!$E$7:$E$68)</f>
        <v/>
      </c>
      <c r="F9" s="7">
        <f>IFERROR(E9/D9,"-")</f>
        <v/>
      </c>
      <c r="G9" s="10" t="n"/>
    </row>
    <row r="10">
      <c r="A10" s="5" t="n">
        <v>9</v>
      </c>
      <c r="B10" s="19" t="inlineStr">
        <is>
          <t>Record Management</t>
        </is>
      </c>
      <c r="C10" s="2">
        <f>COUNTIF(Checklist!$B$7:$B$77,B10)</f>
        <v/>
      </c>
      <c r="D10" s="6" t="n">
        <v>17</v>
      </c>
      <c r="E10" s="6">
        <f>SUMIF(Checklist!$B$7:$B$68,'Score Parameters'!B10,Checklist!$E$7:$E$68)</f>
        <v/>
      </c>
      <c r="F10" s="7">
        <f>IFERROR(E10/D10,"-")</f>
        <v/>
      </c>
      <c r="G10" s="10" t="n"/>
    </row>
    <row r="11" ht="27.6" customHeight="1">
      <c r="A11" s="5" t="n">
        <v>10</v>
      </c>
      <c r="B11" s="19" t="inlineStr">
        <is>
          <t>Settlement Compliance</t>
        </is>
      </c>
      <c r="C11" s="2">
        <f>COUNTIF(Checklist!$B$7:$B$77,B11)</f>
        <v/>
      </c>
      <c r="D11" s="6" t="n">
        <v>2</v>
      </c>
      <c r="E11" s="6">
        <f>SUMIF(Checklist!$B$7:$B$68,'Score Parameters'!B11,Checklist!$E$7:$E$68)</f>
        <v/>
      </c>
      <c r="F11" s="7">
        <f>IFERROR(E11/D11,"-")</f>
        <v/>
      </c>
      <c r="G11" s="10" t="n"/>
    </row>
    <row r="12">
      <c r="A12" s="5" t="n">
        <v>11</v>
      </c>
      <c r="B12" s="19" t="inlineStr">
        <is>
          <t>Miscellaneous</t>
        </is>
      </c>
      <c r="C12" s="2">
        <f>COUNTIF(Checklist!$B$7:$B$77,B12)</f>
        <v/>
      </c>
      <c r="D12" s="6" t="n">
        <v>0</v>
      </c>
      <c r="E12" s="6">
        <f>SUMIF(Checklist!$B$7:$B$68,'Score Parameters'!B12,Checklist!$E$7:$E$68)</f>
        <v/>
      </c>
      <c r="F12" s="7">
        <f>IFERROR(E12/D12,"-")</f>
        <v/>
      </c>
      <c r="G12" s="10" t="n"/>
    </row>
    <row r="13">
      <c r="A13" s="11" t="n"/>
      <c r="B13" s="3" t="inlineStr">
        <is>
          <t>Total</t>
        </is>
      </c>
      <c r="C13" s="3">
        <f>SUM(C2:C12)</f>
        <v/>
      </c>
      <c r="D13" s="3">
        <f>SUM(D2:D12)</f>
        <v/>
      </c>
      <c r="E13" s="3">
        <f>SUM(E2:E12)</f>
        <v/>
      </c>
      <c r="F13" s="8">
        <f>E13/D13</f>
        <v/>
      </c>
    </row>
    <row r="14">
      <c r="A14" s="3" t="inlineStr">
        <is>
          <t>FINAL RATING</t>
        </is>
      </c>
      <c r="B14" s="39" t="n"/>
      <c r="C14" s="39" t="n"/>
      <c r="D14" s="39" t="n"/>
      <c r="E14" s="40" t="n"/>
      <c r="F14" s="3">
        <f t="array" ref="F14">_xlfn.IFS(F13&gt;=80%,B17,F13&gt;=70%,B18,F13&gt;=60%,B19,F13&gt;=50%,B20,F13&lt;=49%,B21)</f>
        <v/>
      </c>
    </row>
    <row r="15">
      <c r="A15" s="12" t="n"/>
      <c r="B15" s="12" t="n"/>
      <c r="C15" s="12" t="n"/>
      <c r="D15" s="13" t="n"/>
      <c r="E15" s="12" t="n"/>
      <c r="F15" s="12" t="n"/>
    </row>
    <row r="16" hidden="1">
      <c r="A16" s="12" t="n"/>
      <c r="B16" s="3" t="inlineStr">
        <is>
          <t>Rating</t>
        </is>
      </c>
      <c r="C16" s="3" t="inlineStr">
        <is>
          <t>Scoring Segmentation</t>
        </is>
      </c>
      <c r="D16" s="13" t="n"/>
      <c r="E16" s="12" t="n"/>
      <c r="F16" s="12" t="n"/>
    </row>
    <row r="17" hidden="1">
      <c r="A17" s="12" t="n"/>
      <c r="B17" s="14" t="inlineStr">
        <is>
          <t>A</t>
        </is>
      </c>
      <c r="C17" s="1" t="inlineStr">
        <is>
          <t>&gt;=80</t>
        </is>
      </c>
      <c r="D17" s="13" t="n"/>
      <c r="E17" s="12" t="n"/>
      <c r="F17" s="12" t="n"/>
    </row>
    <row r="18" hidden="1">
      <c r="A18" s="12" t="n"/>
      <c r="B18" s="15" t="inlineStr">
        <is>
          <t>B</t>
        </is>
      </c>
      <c r="C18" s="1" t="inlineStr">
        <is>
          <t>&gt;=70 and &lt;=79</t>
        </is>
      </c>
      <c r="D18" s="13" t="n"/>
      <c r="E18" s="12" t="n"/>
      <c r="F18" s="12" t="n"/>
    </row>
    <row r="19" hidden="1">
      <c r="A19" s="12" t="n"/>
      <c r="B19" s="16" t="inlineStr">
        <is>
          <t>C</t>
        </is>
      </c>
      <c r="C19" s="1" t="inlineStr">
        <is>
          <t>&gt;=60 and &lt;=69</t>
        </is>
      </c>
      <c r="D19" s="13" t="n"/>
      <c r="E19" s="12" t="n"/>
      <c r="F19" s="12" t="n"/>
    </row>
    <row r="20" hidden="1">
      <c r="A20" s="12" t="n"/>
      <c r="B20" s="17" t="inlineStr">
        <is>
          <t>D</t>
        </is>
      </c>
      <c r="C20" s="1" t="inlineStr">
        <is>
          <t>&gt;=50 and &lt;=59</t>
        </is>
      </c>
      <c r="D20" s="13" t="n"/>
      <c r="E20" s="12" t="n"/>
      <c r="F20" s="12" t="n"/>
    </row>
    <row r="21" hidden="1">
      <c r="A21" s="12" t="n"/>
      <c r="B21" s="18" t="inlineStr">
        <is>
          <t>E</t>
        </is>
      </c>
      <c r="C21" s="1" t="inlineStr">
        <is>
          <t>&lt;=49</t>
        </is>
      </c>
      <c r="D21" s="13" t="n"/>
      <c r="E21" s="12" t="n"/>
      <c r="F21" s="12" t="n"/>
    </row>
    <row r="22">
      <c r="A22" s="12" t="n"/>
      <c r="B22" s="12" t="n"/>
      <c r="C22" s="12" t="n"/>
      <c r="D22" s="13" t="n"/>
      <c r="E22" s="12" t="n"/>
      <c r="F22" s="12" t="n"/>
    </row>
  </sheetData>
  <mergeCells count="1">
    <mergeCell ref="A14:E14"/>
  </mergeCells>
  <conditionalFormatting sqref="B17:B21">
    <cfRule type="colorScale" priority="1">
      <colorScale>
        <cfvo type="min"/>
        <cfvo type="percentile" val="50"/>
        <cfvo type="max"/>
        <color rgb="FFF8696B"/>
        <color rgb="FFFFEB84"/>
        <color rgb="FF63BE7B"/>
      </colorScale>
    </cfRule>
  </conditionalFormatting>
  <conditionalFormatting sqref="F13">
    <cfRule type="cellIs" priority="2" operator="greaterThan" dxfId="2">
      <formula>0.8</formula>
    </cfRule>
    <cfRule type="cellIs" priority="3" operator="between" dxfId="1">
      <formula>0.6</formula>
      <formula>0.8</formula>
    </cfRule>
    <cfRule type="cellIs" priority="4" operator="between" dxfId="0">
      <formula>0</formula>
      <formula>0.5999</formula>
    </cfRule>
  </conditionalFormatting>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1"/>
  <sheetViews>
    <sheetView view="pageLayout" zoomScaleNormal="100" workbookViewId="0">
      <selection activeCell="A1" sqref="A1"/>
    </sheetView>
  </sheetViews>
  <sheetFormatPr baseColWidth="8" defaultColWidth="9.109375" defaultRowHeight="13.8"/>
  <cols>
    <col width="100.6640625" customWidth="1" style="20" min="1" max="1"/>
    <col width="9.109375" customWidth="1" style="20" min="2" max="16384"/>
  </cols>
  <sheetData>
    <row r="1">
      <c r="A1" s="21" t="inlineStr">
        <is>
          <t>Observation</t>
        </is>
      </c>
    </row>
  </sheetData>
  <pageMargins left="0.25" right="0.25"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Himanshu16.Sharma@tatacapital.com</dc:creator>
  <dcterms:created xmlns:dcterms="http://purl.org/dc/terms/" xmlns:xsi="http://www.w3.org/2001/XMLSchema-instance" xsi:type="dcterms:W3CDTF">2023-04-03T05:27:31Z</dcterms:created>
  <dcterms:modified xmlns:dcterms="http://purl.org/dc/terms/" xmlns:xsi="http://www.w3.org/2001/XMLSchema-instance" xsi:type="dcterms:W3CDTF">2026-08-04T12:06:55Z</dcterms:modified>
  <cp:lastModifiedBy>Rachit Goyal</cp:lastModifiedBy>
  <cp:lastPrinted>2026-04-23T07:21:31Z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0x010100B89E9B38EF334341B754D8F8D6A719DA</vt:lpwstr>
  </property>
</Properties>
</file>