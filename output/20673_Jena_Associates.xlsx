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hecklist" sheetId="1" state="visible" r:id="rId1"/>
    <sheet xmlns:r="http://schemas.openxmlformats.org/officeDocument/2006/relationships" name="Score Parameters" sheetId="2" state="visible" r:id="rId2"/>
  </sheets>
  <definedNames>
    <definedName name="_xlnm.Print_Titles" localSheetId="0">'Checklist'!$7:$7</definedName>
  </definedNames>
  <calcPr calcId="191029" fullCalcOnLoad="1" forceFullCalc="1"/>
</workbook>
</file>

<file path=xl/styles.xml><?xml version="1.0" encoding="utf-8"?>
<styleSheet xmlns="http://schemas.openxmlformats.org/spreadsheetml/2006/main">
  <numFmts count="0"/>
  <fonts count="10">
    <font>
      <name val="Calibri"/>
      <family val="2"/>
      <color theme="1"/>
      <sz val="11"/>
      <scheme val="minor"/>
    </font>
    <font>
      <name val="Calibri"/>
      <family val="2"/>
      <color theme="1"/>
      <sz val="11"/>
      <scheme val="minor"/>
    </font>
    <font>
      <name val="Calibri"/>
      <family val="2"/>
      <color theme="1"/>
      <sz val="10"/>
      <scheme val="minor"/>
    </font>
    <font>
      <name val="Calibri"/>
      <family val="2"/>
      <b val="1"/>
      <color theme="0"/>
      <sz val="10"/>
      <scheme val="minor"/>
    </font>
    <font>
      <name val="Calibri"/>
      <family val="2"/>
      <color theme="3" tint="-0.499984740745262"/>
      <sz val="10"/>
      <scheme val="minor"/>
    </font>
    <font>
      <name val="Calibri"/>
      <family val="2"/>
      <b val="1"/>
      <color theme="3" tint="-0.499984740745262"/>
      <sz val="10"/>
      <scheme val="minor"/>
    </font>
    <font>
      <name val="Calibri"/>
      <family val="2"/>
      <sz val="10"/>
      <scheme val="minor"/>
    </font>
    <font>
      <name val="Calibri"/>
      <family val="2"/>
      <b val="1"/>
      <color theme="0"/>
      <sz val="9"/>
      <scheme val="minor"/>
    </font>
    <font>
      <name val="Calibri"/>
      <family val="2"/>
      <color theme="1"/>
      <sz val="9"/>
      <scheme val="minor"/>
    </font>
    <font>
      <name val="Calibri"/>
      <family val="2"/>
      <b val="1"/>
      <color theme="1"/>
      <sz val="9"/>
      <scheme val="minor"/>
    </font>
  </fonts>
  <fills count="10">
    <fill>
      <patternFill/>
    </fill>
    <fill>
      <patternFill patternType="gray125"/>
    </fill>
    <fill>
      <patternFill patternType="solid">
        <fgColor theme="4" tint="0.7999816888943144"/>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rgb="FFFB7D7D"/>
        <bgColor indexed="64"/>
      </patternFill>
    </fill>
    <fill>
      <patternFill patternType="solid">
        <fgColor rgb="FFFF111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1" fillId="0" borderId="0"/>
    <xf numFmtId="9" fontId="1" fillId="0" borderId="0"/>
  </cellStyleXfs>
  <cellXfs count="48">
    <xf numFmtId="0" fontId="0" fillId="0" borderId="0" pivotButton="0" quotePrefix="0" xfId="0"/>
    <xf numFmtId="0" fontId="3" fillId="4" borderId="1" applyAlignment="1" pivotButton="0" quotePrefix="0" xfId="0">
      <alignment horizontal="center" vertical="center"/>
    </xf>
    <xf numFmtId="0" fontId="2" fillId="0" borderId="0" pivotButton="0" quotePrefix="0" xfId="0"/>
    <xf numFmtId="9" fontId="2" fillId="0" borderId="0" pivotButton="0" quotePrefix="0" xfId="0"/>
    <xf numFmtId="0" fontId="2" fillId="0" borderId="0" applyAlignment="1" pivotButton="0" quotePrefix="0" xfId="0">
      <alignment wrapText="1"/>
    </xf>
    <xf numFmtId="0" fontId="2" fillId="0" borderId="0" applyAlignment="1" pivotButton="0" quotePrefix="0" xfId="0">
      <alignment horizontal="center" wrapText="1"/>
    </xf>
    <xf numFmtId="0" fontId="3" fillId="4" borderId="1" applyAlignment="1" pivotButton="0" quotePrefix="0" xfId="0">
      <alignment horizontal="center"/>
    </xf>
    <xf numFmtId="0" fontId="6" fillId="5" borderId="1" applyAlignment="1" pivotButton="0" quotePrefix="0" xfId="0">
      <alignment horizontal="center"/>
    </xf>
    <xf numFmtId="0" fontId="2" fillId="0" borderId="1" applyAlignment="1" pivotButton="0" quotePrefix="0" xfId="0">
      <alignment horizontal="center"/>
    </xf>
    <xf numFmtId="0" fontId="6" fillId="6" borderId="1" applyAlignment="1" pivotButton="0" quotePrefix="0" xfId="0">
      <alignment horizontal="center"/>
    </xf>
    <xf numFmtId="0" fontId="6" fillId="7" borderId="1" applyAlignment="1" pivotButton="0" quotePrefix="0" xfId="0">
      <alignment horizontal="center"/>
    </xf>
    <xf numFmtId="0" fontId="6" fillId="8" borderId="1" applyAlignment="1" pivotButton="0" quotePrefix="0" xfId="0">
      <alignment horizontal="center"/>
    </xf>
    <xf numFmtId="0" fontId="6" fillId="9" borderId="1" applyAlignment="1" pivotButton="0" quotePrefix="0" xfId="0">
      <alignment horizontal="center"/>
    </xf>
    <xf numFmtId="0" fontId="4" fillId="0" borderId="1" applyAlignment="1" pivotButton="0" quotePrefix="0" xfId="0">
      <alignment horizontal="center"/>
    </xf>
    <xf numFmtId="0" fontId="2" fillId="0" borderId="1" applyAlignment="1" pivotButton="0" quotePrefix="0" xfId="0">
      <alignment vertical="center"/>
    </xf>
    <xf numFmtId="0" fontId="2" fillId="0" borderId="1" applyAlignment="1" pivotButton="0" quotePrefix="0" xfId="0">
      <alignment horizontal="center" vertical="center"/>
    </xf>
    <xf numFmtId="1" fontId="2" fillId="0" borderId="1" applyAlignment="1" pivotButton="0" quotePrefix="0" xfId="0">
      <alignment horizontal="center" vertical="center"/>
    </xf>
    <xf numFmtId="9" fontId="5" fillId="0" borderId="1" applyAlignment="1" pivotButton="0" quotePrefix="0" xfId="1">
      <alignment horizontal="center" vertical="center"/>
    </xf>
    <xf numFmtId="0" fontId="4" fillId="0" borderId="1" applyAlignment="1" pivotButton="0" quotePrefix="0" xfId="0">
      <alignment horizontal="center" vertical="center"/>
    </xf>
    <xf numFmtId="0" fontId="4" fillId="0" borderId="1" pivotButton="0" quotePrefix="0" xfId="0"/>
    <xf numFmtId="9" fontId="5" fillId="2" borderId="1" applyAlignment="1" pivotButton="0" quotePrefix="0" xfId="1">
      <alignment horizontal="center" vertical="center"/>
    </xf>
    <xf numFmtId="0" fontId="3" fillId="4" borderId="1" applyAlignment="1" pivotButton="0" quotePrefix="0" xfId="0">
      <alignment horizontal="left" vertical="center"/>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0" borderId="0" applyAlignment="1" pivotButton="0" quotePrefix="0" xfId="0">
      <alignment horizontal="left" vertical="top" wrapText="1"/>
    </xf>
    <xf numFmtId="0" fontId="8" fillId="0" borderId="0" applyAlignment="1" pivotButton="0" quotePrefix="0" xfId="0">
      <alignment vertical="top" wrapText="1"/>
    </xf>
    <xf numFmtId="0" fontId="7" fillId="4" borderId="1" applyAlignment="1" pivotButton="0" quotePrefix="0" xfId="0">
      <alignment horizontal="left" vertical="top"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14" fontId="8" fillId="0" borderId="1" applyAlignment="1" pivotButton="0" quotePrefix="0" xfId="0">
      <alignment horizontal="center" vertical="top" wrapText="1"/>
    </xf>
    <xf numFmtId="14" fontId="8" fillId="0" borderId="1" applyAlignment="1" pivotButton="0" quotePrefix="0" xfId="0">
      <alignment horizontal="left" vertical="top" wrapText="1"/>
    </xf>
    <xf numFmtId="0" fontId="8" fillId="3" borderId="1" applyAlignment="1" pivotButton="0" quotePrefix="0" xfId="0">
      <alignment horizontal="left" vertical="top" wrapText="1"/>
    </xf>
    <xf numFmtId="1" fontId="8" fillId="3" borderId="1" applyAlignment="1" pivotButton="0" quotePrefix="0" xfId="0">
      <alignment horizontal="left" vertical="top" wrapText="1"/>
    </xf>
    <xf numFmtId="0" fontId="8" fillId="3" borderId="1" applyAlignment="1" pivotButton="0" quotePrefix="0" xfId="0">
      <alignment horizontal="center" vertical="top" wrapText="1"/>
    </xf>
    <xf numFmtId="0" fontId="8" fillId="0" borderId="1" applyAlignment="1" pivotButton="0" quotePrefix="1" xfId="0">
      <alignment horizontal="left" vertical="top" wrapText="1"/>
    </xf>
    <xf numFmtId="0" fontId="9" fillId="3" borderId="1" applyAlignment="1" pivotButton="0" quotePrefix="0" xfId="0">
      <alignment horizontal="center" vertical="top" wrapText="1"/>
    </xf>
    <xf numFmtId="0" fontId="9" fillId="0" borderId="1" applyAlignment="1" pivotButton="0" quotePrefix="0" xfId="0">
      <alignment horizontal="left" vertical="top" wrapText="1"/>
    </xf>
    <xf numFmtId="15" fontId="7" fillId="4" borderId="1" applyAlignment="1" pivotButton="0" quotePrefix="0" xfId="0">
      <alignment horizontal="center" vertical="center" wrapText="1"/>
    </xf>
    <xf numFmtId="0" fontId="9" fillId="0" borderId="1" applyAlignment="1" pivotButton="0" quotePrefix="0" xfId="0">
      <alignment horizontal="center" vertical="top" wrapText="1"/>
    </xf>
    <xf numFmtId="15" fontId="9" fillId="0" borderId="1" applyAlignment="1" pivotButton="0" quotePrefix="0" xfId="0">
      <alignment horizontal="center" vertical="top" wrapText="1"/>
    </xf>
    <xf numFmtId="0" fontId="3" fillId="4" borderId="2" applyAlignment="1" pivotButton="0" quotePrefix="0" xfId="0">
      <alignment horizontal="center" vertical="center"/>
    </xf>
    <xf numFmtId="0" fontId="3" fillId="4" borderId="3" applyAlignment="1" pivotButton="0" quotePrefix="0" xfId="0">
      <alignment horizontal="center" vertical="center"/>
    </xf>
    <xf numFmtId="0" fontId="3" fillId="4" borderId="4" applyAlignment="1" pivotButton="0" quotePrefix="0" xfId="0">
      <alignment horizontal="center" vertical="center"/>
    </xf>
    <xf numFmtId="0" fontId="8" fillId="0" borderId="0" applyAlignment="1" pivotButton="0" quotePrefix="0" xfId="0">
      <alignment horizontal="center" vertical="top" wrapText="1"/>
    </xf>
    <xf numFmtId="15" fontId="8" fillId="0" borderId="0" applyAlignment="1" pivotButton="0" quotePrefix="0" xfId="0">
      <alignment horizontal="center" vertical="top" wrapText="1"/>
    </xf>
    <xf numFmtId="0" fontId="9" fillId="0" borderId="0" applyAlignment="1" pivotButton="0" quotePrefix="0" xfId="0">
      <alignment vertical="top" wrapText="1"/>
    </xf>
    <xf numFmtId="0" fontId="0" fillId="0" borderId="3" pivotButton="0" quotePrefix="0" xfId="0"/>
    <xf numFmtId="0" fontId="0" fillId="0" borderId="4" pivotButton="0" quotePrefix="0" xfId="0"/>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J62"/>
  <sheetViews>
    <sheetView showGridLines="0" tabSelected="1" workbookViewId="0">
      <selection activeCell="F4" sqref="F4"/>
    </sheetView>
  </sheetViews>
  <sheetFormatPr baseColWidth="8" defaultColWidth="8.6640625" defaultRowHeight="12"/>
  <cols>
    <col width="5.6640625" bestFit="1" customWidth="1" style="43" min="1" max="1"/>
    <col width="17.33203125" bestFit="1" customWidth="1" style="25" min="2" max="2"/>
    <col width="21.44140625" bestFit="1" customWidth="1" style="25" min="3" max="3"/>
    <col width="42.44140625" customWidth="1" style="25" min="4" max="4"/>
    <col hidden="1" width="17.33203125" customWidth="1" style="25" min="5" max="5"/>
    <col width="18.5546875" bestFit="1" customWidth="1" style="25" min="6" max="6"/>
    <col width="36.5546875" customWidth="1" style="25" min="7" max="7"/>
    <col width="33.6640625" customWidth="1" style="25" min="8" max="8"/>
    <col width="16.109375" bestFit="1" customWidth="1" style="43" min="9" max="9"/>
    <col width="18.33203125" bestFit="1" customWidth="1" style="44" min="10" max="10"/>
    <col width="8.6640625" customWidth="1" style="25" min="11" max="16384"/>
  </cols>
  <sheetData>
    <row r="1">
      <c r="C1" s="24" t="n"/>
    </row>
    <row r="2" ht="39.9" customHeight="1">
      <c r="C2" s="26" t="inlineStr">
        <is>
          <t>Agency Code</t>
        </is>
      </c>
      <c r="D2" s="28" t="inlineStr">
        <is>
          <t>20673</t>
        </is>
      </c>
      <c r="E2" s="27" t="n"/>
      <c r="F2" s="26" t="inlineStr">
        <is>
          <t>Auditor Name</t>
        </is>
      </c>
      <c r="G2" s="28" t="inlineStr">
        <is>
          <t>Akshay</t>
        </is>
      </c>
    </row>
    <row r="3" ht="39.9" customHeight="1">
      <c r="C3" s="26" t="inlineStr">
        <is>
          <t>Agency Name</t>
        </is>
      </c>
      <c r="D3" s="28" t="inlineStr">
        <is>
          <t>Jena Associates</t>
        </is>
      </c>
      <c r="E3" s="29" t="n"/>
      <c r="F3" s="26" t="inlineStr">
        <is>
          <t>Audit Date</t>
        </is>
      </c>
      <c r="G3" s="30" t="inlineStr">
        <is>
          <t>13/6/2026</t>
        </is>
      </c>
    </row>
    <row r="4" ht="39.9" customHeight="1">
      <c r="C4" s="26" t="inlineStr">
        <is>
          <t>Agency Address</t>
        </is>
      </c>
      <c r="D4" s="28" t="inlineStr">
        <is>
          <t>B276 1st floor</t>
        </is>
      </c>
      <c r="E4" s="27" t="n"/>
      <c r="F4" s="26" t="inlineStr">
        <is>
          <t>Collection Manager</t>
        </is>
      </c>
      <c r="G4" s="28" t="inlineStr">
        <is>
          <t>Parteek yadav</t>
        </is>
      </c>
    </row>
    <row r="5" ht="39.9" customHeight="1">
      <c r="C5" s="26" t="inlineStr">
        <is>
          <t>Type of agency</t>
        </is>
      </c>
      <c r="D5" s="28" t="inlineStr">
        <is>
          <t>Collection &amp; Repo Agency</t>
        </is>
      </c>
      <c r="E5" s="27" t="n"/>
      <c r="F5" s="26" t="inlineStr">
        <is>
          <t>Agency Manager</t>
        </is>
      </c>
      <c r="G5" s="28" t="inlineStr">
        <is>
          <t>Parteek yadav</t>
        </is>
      </c>
    </row>
    <row r="6">
      <c r="C6" s="24" t="n"/>
    </row>
    <row r="7" ht="24" customHeight="1">
      <c r="A7" s="22" t="inlineStr">
        <is>
          <t>Sr.No.</t>
        </is>
      </c>
      <c r="B7" s="23" t="inlineStr">
        <is>
          <t>Rating Category</t>
        </is>
      </c>
      <c r="C7" s="23" t="inlineStr">
        <is>
          <t>Short Segmentation</t>
        </is>
      </c>
      <c r="D7" s="23" t="inlineStr">
        <is>
          <t>Particular</t>
        </is>
      </c>
      <c r="E7" s="23" t="inlineStr">
        <is>
          <t>Final Score</t>
        </is>
      </c>
      <c r="F7" s="22" t="inlineStr">
        <is>
          <t>Compliance status
 (Yes / No)</t>
        </is>
      </c>
      <c r="G7" s="23" t="inlineStr">
        <is>
          <t>Observation</t>
        </is>
      </c>
      <c r="H7" s="23" t="inlineStr">
        <is>
          <t>Closing Meeting Comments</t>
        </is>
      </c>
      <c r="I7" s="22" t="inlineStr">
        <is>
          <t>Pending Status
(Open/ Closed)</t>
        </is>
      </c>
      <c r="J7" s="37" t="inlineStr">
        <is>
          <t>Timelines for 
Non-Closure Point</t>
        </is>
      </c>
    </row>
    <row r="8" ht="90" customHeight="1">
      <c r="A8" s="27" t="n">
        <v>1</v>
      </c>
      <c r="B8" s="28" t="inlineStr">
        <is>
          <t>Allocation Compliance</t>
        </is>
      </c>
      <c r="C8" s="28" t="inlineStr">
        <is>
          <t>Account to Collector Ratio – Not adequate</t>
        </is>
      </c>
      <c r="D8" s="31" t="inlineStr">
        <is>
          <t>Account to Collector Ratio – Stats need to be mentioned</t>
        </is>
      </c>
      <c r="E8" s="32" t="inlineStr">
        <is>
          <t>Only Observation Point</t>
        </is>
      </c>
      <c r="F8" s="33" t="inlineStr">
        <is>
          <t>Yes</t>
        </is>
      </c>
      <c r="G8" s="28" t="inlineStr">
        <is>
          <t>2 CRE allocated for 289 cases in May 2026 for TW - Flows of Tata Capital</t>
        </is>
      </c>
      <c r="H8" s="28" t="inlineStr">
        <is>
          <t>NA</t>
        </is>
      </c>
      <c r="I8" s="27" t="inlineStr"/>
      <c r="J8" s="27" t="inlineStr"/>
    </row>
    <row r="9" ht="90" customHeight="1">
      <c r="A9" s="27" t="n">
        <v>2</v>
      </c>
      <c r="B9" s="28" t="inlineStr">
        <is>
          <t>Allocation Compliance</t>
        </is>
      </c>
      <c r="C9" s="28" t="inlineStr">
        <is>
          <t>Not All cases allocated to agency CREs</t>
        </is>
      </c>
      <c r="D9" s="31" t="inlineStr">
        <is>
          <t>Check whether all the cases allocated to agency in being allocated to CRE</t>
        </is>
      </c>
      <c r="E9" s="32">
        <f>IF(F9="Yes",3,"0")</f>
        <v/>
      </c>
      <c r="F9" s="33" t="inlineStr">
        <is>
          <t>Yes</t>
        </is>
      </c>
      <c r="G9" s="28" t="inlineStr">
        <is>
          <t>Yes the same is complied</t>
        </is>
      </c>
      <c r="H9" s="28" t="inlineStr">
        <is>
          <t>NA</t>
        </is>
      </c>
      <c r="I9" s="27" t="inlineStr"/>
      <c r="J9" s="27" t="inlineStr"/>
    </row>
    <row r="10" ht="90" customHeight="1">
      <c r="A10" s="27" t="n">
        <v>3</v>
      </c>
      <c r="B10" s="28" t="inlineStr">
        <is>
          <t>Call recording</t>
        </is>
      </c>
      <c r="C10" s="28" t="inlineStr">
        <is>
          <t>Call recording facility not available</t>
        </is>
      </c>
      <c r="D10" s="31" t="inlineStr">
        <is>
          <t>Whether Call recording facility is available at the agency &amp; is in working condition? Also, check whether all calls made to the customers via M collect App?</t>
        </is>
      </c>
      <c r="E10" s="32">
        <f>IF(F10="Yes",5,"0")</f>
        <v/>
      </c>
      <c r="F10" s="35" t="inlineStr">
        <is>
          <t>Yes</t>
        </is>
      </c>
      <c r="G10" s="36" t="inlineStr">
        <is>
          <t>Agency using M Collect to Call Customer</t>
        </is>
      </c>
      <c r="H10" s="36" t="inlineStr">
        <is>
          <t>NA</t>
        </is>
      </c>
      <c r="I10" s="38" t="inlineStr"/>
      <c r="J10" s="39" t="inlineStr"/>
    </row>
    <row r="11" ht="90" customHeight="1">
      <c r="A11" s="27" t="n">
        <v>4</v>
      </c>
      <c r="B11" s="28" t="inlineStr">
        <is>
          <t>Call recording</t>
        </is>
      </c>
      <c r="C11" s="28" t="inlineStr">
        <is>
          <t>Call recording Storage/Maintenance</t>
        </is>
      </c>
      <c r="D11" s="28" t="inlineStr">
        <is>
          <t>Whether call recording data is maintained as per policy? Also, check whether agency has done calling via M Collect App? Whether 100% call recording is done and maintained by the agency &amp; retrieved all sample calls provided during audit?(Dialler + M-Collect)</t>
        </is>
      </c>
      <c r="E11" s="32">
        <f>IF(F11="Yes",4,"0")</f>
        <v/>
      </c>
      <c r="F11" s="35" t="inlineStr">
        <is>
          <t>No</t>
        </is>
      </c>
      <c r="G11" s="36" t="inlineStr">
        <is>
          <t>Sample Calls could not be retrieved at the time of the audit</t>
        </is>
      </c>
      <c r="H11" s="36" t="inlineStr">
        <is>
          <t>Manager will provide the call recording samples</t>
        </is>
      </c>
      <c r="I11" s="38" t="inlineStr"/>
      <c r="J11" s="39" t="inlineStr"/>
    </row>
    <row r="12" ht="90" customHeight="1">
      <c r="A12" s="27" t="n">
        <v>5</v>
      </c>
      <c r="B12" s="28" t="inlineStr">
        <is>
          <t>TCOC</t>
        </is>
      </c>
      <c r="C12" s="28" t="inlineStr">
        <is>
          <t>Telephone Etiquette not followed</t>
        </is>
      </c>
      <c r="D12" s="28" t="inlineStr">
        <is>
          <t>Whether telephone etiquette is followed in calls? Any Non Compliance as per code of conduct &amp; TCOC also if any Misbehaviour observed in calls to be noted.</t>
        </is>
      </c>
      <c r="E12" s="32">
        <f>IF(F12="Yes",3,"0")</f>
        <v/>
      </c>
      <c r="F12" s="35" t="inlineStr">
        <is>
          <t>No</t>
        </is>
      </c>
      <c r="G12" s="36" t="inlineStr">
        <is>
          <t>No Calling Sample available for Verification</t>
        </is>
      </c>
      <c r="H12" s="36" t="inlineStr">
        <is>
          <t>Manager will provide the call recording samples</t>
        </is>
      </c>
      <c r="I12" s="38" t="inlineStr"/>
      <c r="J12" s="39" t="inlineStr"/>
    </row>
    <row r="13" ht="90" customHeight="1">
      <c r="A13" s="27" t="n">
        <v>6</v>
      </c>
      <c r="B13" s="28" t="inlineStr">
        <is>
          <t>TCOC</t>
        </is>
      </c>
      <c r="C13" s="28" t="inlineStr">
        <is>
          <t>Pseudo names</t>
        </is>
      </c>
      <c r="D13" s="31" t="inlineStr">
        <is>
          <t>Check whether tele callers using pseudo names?</t>
        </is>
      </c>
      <c r="E13" s="32">
        <f>IF(F13="Yes",2,"0")</f>
        <v/>
      </c>
      <c r="F13" s="35" t="inlineStr">
        <is>
          <t>No</t>
        </is>
      </c>
      <c r="G13" s="36" t="inlineStr">
        <is>
          <t>No Calling Sample available for Verification</t>
        </is>
      </c>
      <c r="H13" s="36" t="inlineStr">
        <is>
          <t>Manager will provide the call recording samples</t>
        </is>
      </c>
      <c r="I13" s="38" t="inlineStr"/>
      <c r="J13" s="39" t="inlineStr"/>
    </row>
    <row r="14" ht="90" customHeight="1">
      <c r="A14" s="27" t="n">
        <v>7</v>
      </c>
      <c r="B14" s="28" t="inlineStr">
        <is>
          <t>TCOC</t>
        </is>
      </c>
      <c r="C14" s="28" t="inlineStr">
        <is>
          <t>TCL Posters</t>
        </is>
      </c>
      <c r="D14" s="31" t="inlineStr">
        <is>
          <t>Whether the Code of Conduct posters/ Collections Dos and Don'ts/ any other communication displayed in the offices?</t>
        </is>
      </c>
      <c r="E14" s="32">
        <f>IF(F14="Yes",2,"0")</f>
        <v/>
      </c>
      <c r="F14" s="33" t="inlineStr">
        <is>
          <t>Yes</t>
        </is>
      </c>
      <c r="G14" s="28" t="inlineStr">
        <is>
          <t>Yes the same is complied</t>
        </is>
      </c>
      <c r="H14" s="28" t="inlineStr">
        <is>
          <t>NA</t>
        </is>
      </c>
      <c r="I14" s="27" t="inlineStr"/>
      <c r="J14" s="27" t="inlineStr"/>
    </row>
    <row r="15" ht="90" customHeight="1">
      <c r="A15" s="27" t="n">
        <v>8</v>
      </c>
      <c r="B15" s="28" t="inlineStr">
        <is>
          <t>TCOC</t>
        </is>
      </c>
      <c r="C15" s="28" t="inlineStr">
        <is>
          <t>TCOC training not given by TCL Collection Manager</t>
        </is>
      </c>
      <c r="D15" s="31" t="inlineStr">
        <is>
          <t>Whether all agents are trained on the code of conduct and are well dressed while on field ? (Need to check the acknowledgement of the training given by CM) 
Authorisation Letter - Signed by Collection Manager must required with CREs details</t>
        </is>
      </c>
      <c r="E15" s="32">
        <f>IF(F15="Yes",2,"0")</f>
        <v/>
      </c>
      <c r="F15" s="35" t="inlineStr">
        <is>
          <t>No</t>
        </is>
      </c>
      <c r="G15" s="36" t="inlineStr">
        <is>
          <t>Signature of attendees not available on the Training Letter</t>
        </is>
      </c>
      <c r="H15" s="36" t="inlineStr">
        <is>
          <t>Agency will take care in the future</t>
        </is>
      </c>
      <c r="I15" s="38" t="inlineStr"/>
      <c r="J15" s="39" t="inlineStr"/>
    </row>
    <row r="16" ht="90" customHeight="1">
      <c r="A16" s="27" t="n">
        <v>9</v>
      </c>
      <c r="B16" s="28" t="inlineStr">
        <is>
          <t>TCOC</t>
        </is>
      </c>
      <c r="C16" s="28" t="inlineStr">
        <is>
          <t>COC declaration from all Agents must be stored</t>
        </is>
      </c>
      <c r="D16" s="31" t="inlineStr">
        <is>
          <t>Collection agency need to be taken declaration on code of conduct from all CRE's and this must be stored.</t>
        </is>
      </c>
      <c r="E16" s="32">
        <f>IF(F16="Yes",2,"0")</f>
        <v/>
      </c>
      <c r="F16" s="33" t="inlineStr">
        <is>
          <t>Yes</t>
        </is>
      </c>
      <c r="G16" s="28" t="inlineStr">
        <is>
          <t>Yes the same is complied</t>
        </is>
      </c>
      <c r="H16" s="28" t="inlineStr">
        <is>
          <t>NA</t>
        </is>
      </c>
      <c r="I16" s="27" t="inlineStr"/>
      <c r="J16" s="27" t="inlineStr"/>
    </row>
    <row r="17" ht="90" customHeight="1">
      <c r="A17" s="27" t="n">
        <v>10</v>
      </c>
      <c r="B17" s="28" t="inlineStr">
        <is>
          <t>Cash Collection</t>
        </is>
      </c>
      <c r="C17" s="28" t="inlineStr">
        <is>
          <t>Cash Collection limit of 2 Lacs breached</t>
        </is>
      </c>
      <c r="D17" s="28" t="inlineStr">
        <is>
          <t>- Whether agency CRE has collected cash more than Rs. 1.99 lacs at any point in time during the Emi Months? (Sum of collected amount to be checked as per Loan No./customer name)
- PAN at the time of collecting cash more than Rs. 49k</t>
        </is>
      </c>
      <c r="E17" s="32">
        <f>IF(F17="Yes",2,"0")</f>
        <v/>
      </c>
      <c r="F17" s="33" t="inlineStr">
        <is>
          <t>Yes</t>
        </is>
      </c>
      <c r="G17" s="28" t="inlineStr">
        <is>
          <t>Yes the same is complied</t>
        </is>
      </c>
      <c r="H17" s="28" t="inlineStr">
        <is>
          <t>NA</t>
        </is>
      </c>
      <c r="I17" s="27" t="inlineStr"/>
      <c r="J17" s="27" t="inlineStr"/>
    </row>
    <row r="18" ht="90" customHeight="1">
      <c r="A18" s="27" t="n">
        <v>11</v>
      </c>
      <c r="B18" s="28" t="inlineStr">
        <is>
          <t>Cash Collection</t>
        </is>
      </c>
      <c r="C18" s="28" t="inlineStr">
        <is>
          <t>Deposit delay seen during sample check</t>
        </is>
      </c>
      <c r="D18" s="28" t="inlineStr">
        <is>
          <t>Whether the agency ensures that collections deposited within the TAT?Is there any instance of delayed deposition (More than 2 Days), If so, how many such instances are there</t>
        </is>
      </c>
      <c r="E18" s="32">
        <f>IF(F18="Yes",5,"0")</f>
        <v/>
      </c>
      <c r="F18" s="33" t="inlineStr">
        <is>
          <t>Yes</t>
        </is>
      </c>
      <c r="G18" s="28" t="inlineStr">
        <is>
          <t>Yes the same is complied</t>
        </is>
      </c>
      <c r="H18" s="28" t="inlineStr">
        <is>
          <t>NA</t>
        </is>
      </c>
      <c r="I18" s="27" t="inlineStr"/>
      <c r="J18" s="27" t="inlineStr"/>
    </row>
    <row r="19" ht="90" customHeight="1">
      <c r="A19" s="27" t="n">
        <v>12</v>
      </c>
      <c r="B19" s="28" t="inlineStr">
        <is>
          <t>Cash Collection</t>
        </is>
      </c>
      <c r="C19" s="28" t="inlineStr">
        <is>
          <t>Unauthorized transaction in customer account</t>
        </is>
      </c>
      <c r="D19" s="28" t="inlineStr">
        <is>
          <t xml:space="preserve">Unauthorized transaction in customer account, For Example-Payment done on behalf of Customer or accepting payment in CRE's personal account (GPay, Paytm or any other wallet/bank account). </t>
        </is>
      </c>
      <c r="E19" s="32">
        <f>IF(F19="Yes",3,"0")</f>
        <v/>
      </c>
      <c r="F19" s="33" t="inlineStr">
        <is>
          <t>Yes</t>
        </is>
      </c>
      <c r="G19" s="28" t="inlineStr">
        <is>
          <t>Yes the same is complied</t>
        </is>
      </c>
      <c r="H19" s="28" t="inlineStr">
        <is>
          <t>NA</t>
        </is>
      </c>
      <c r="I19" s="27" t="inlineStr"/>
      <c r="J19" s="27" t="inlineStr"/>
    </row>
    <row r="20" ht="90" customHeight="1">
      <c r="A20" s="27" t="n">
        <v>13</v>
      </c>
      <c r="B20" s="28" t="inlineStr">
        <is>
          <t>Cash Collection</t>
        </is>
      </c>
      <c r="C20" s="28" t="inlineStr">
        <is>
          <t>Multiple Receipt with Multiple Pin Code</t>
        </is>
      </c>
      <c r="D20" s="28" t="inlineStr">
        <is>
          <t>M-Collect Receipts issuance data to be reviewed, in case any CRE issuing unrealistic no. of receipts, reasons to be check</t>
        </is>
      </c>
      <c r="E20" s="32" t="inlineStr">
        <is>
          <t>Only Observation Point</t>
        </is>
      </c>
      <c r="F20" s="35" t="inlineStr">
        <is>
          <t>No</t>
        </is>
      </c>
      <c r="G20" s="36" t="inlineStr">
        <is>
          <t>Unrealistic no. of receipts in a day issued by the CRE/Agency (Refer to annexure)</t>
        </is>
      </c>
      <c r="H20" s="36" t="inlineStr">
        <is>
          <t>Agency will take care in the future</t>
        </is>
      </c>
      <c r="I20" s="38" t="inlineStr"/>
      <c r="J20" s="38" t="inlineStr"/>
    </row>
    <row r="21" ht="90" customHeight="1">
      <c r="A21" s="27" t="n">
        <v>14</v>
      </c>
      <c r="B21" s="28" t="inlineStr">
        <is>
          <t>Cash Collection</t>
        </is>
      </c>
      <c r="C21" s="28" t="inlineStr">
        <is>
          <t>Receipts Issuance in Non Working Hours</t>
        </is>
      </c>
      <c r="D21" s="28" t="inlineStr">
        <is>
          <t xml:space="preserve">Any instance where M-Collect Receipt has been issued in Non-Working Hours </t>
        </is>
      </c>
      <c r="E21" s="32">
        <f>IF(F21="Yes",3,"0")</f>
        <v/>
      </c>
      <c r="F21" s="35" t="inlineStr">
        <is>
          <t>No</t>
        </is>
      </c>
      <c r="G21" s="36" t="inlineStr">
        <is>
          <t>M-Collect Receipt has been issued in Non-Working Hours (Refer to annexure)</t>
        </is>
      </c>
      <c r="H21" s="36" t="inlineStr">
        <is>
          <t>As per agency customer available on same time</t>
        </is>
      </c>
      <c r="I21" s="38" t="inlineStr"/>
      <c r="J21" s="38" t="inlineStr"/>
    </row>
    <row r="22" ht="90" customHeight="1">
      <c r="A22" s="27" t="n">
        <v>15</v>
      </c>
      <c r="B22" s="28" t="inlineStr">
        <is>
          <t>Cash Collection</t>
        </is>
      </c>
      <c r="C22" s="28" t="inlineStr">
        <is>
          <t>Receipts issuance by other Agency</t>
        </is>
      </c>
      <c r="D22" s="28" t="inlineStr">
        <is>
          <t>Any Receipts issued by the agency which is not in allocation Or CM/Off role are issuing receipts instead of same agency</t>
        </is>
      </c>
      <c r="E22" s="32" t="inlineStr">
        <is>
          <t>Only Observation Point</t>
        </is>
      </c>
      <c r="F22" s="35" t="inlineStr">
        <is>
          <t>No</t>
        </is>
      </c>
      <c r="G22" s="36" t="inlineStr">
        <is>
          <t>1) Receipts issued by the agency which is not in allocation (TCFTW0538000012532285 - 15-03-2026 - 20673009 - Case allocated to 19025)
2) Agency/CM/Offrole are issuing receipts instead of same agency (2603514449, 2604515576 - Receipt issued by 20551)</t>
        </is>
      </c>
      <c r="H22" s="36" t="inlineStr">
        <is>
          <t>Agency will discuss with Manager</t>
        </is>
      </c>
      <c r="I22" s="38" t="inlineStr"/>
      <c r="J22" s="38" t="inlineStr"/>
    </row>
    <row r="23" ht="90" customHeight="1">
      <c r="A23" s="27" t="n">
        <v>16</v>
      </c>
      <c r="B23" s="28" t="inlineStr">
        <is>
          <t>Cash Collection</t>
        </is>
      </c>
      <c r="C23" s="28" t="inlineStr">
        <is>
          <t>Customer payment not deposited to agency or TCL</t>
        </is>
      </c>
      <c r="D23" s="31" t="inlineStr">
        <is>
          <t>Any instances where the CRE collected the money from the customer but the same was not deposited In customer account/not deposited to agency/not deposited in TCL?</t>
        </is>
      </c>
      <c r="E23" s="32">
        <f>IF(F23="Yes",3,"0")</f>
        <v/>
      </c>
      <c r="F23" s="33" t="inlineStr">
        <is>
          <t>Yes</t>
        </is>
      </c>
      <c r="G23" s="28" t="inlineStr">
        <is>
          <t>Yes the same is complied</t>
        </is>
      </c>
      <c r="H23" s="28" t="inlineStr">
        <is>
          <t>NA</t>
        </is>
      </c>
      <c r="I23" s="27" t="inlineStr"/>
      <c r="J23" s="27" t="inlineStr"/>
    </row>
    <row r="24" ht="90" customHeight="1">
      <c r="A24" s="27" t="n">
        <v>17</v>
      </c>
      <c r="B24" s="28" t="inlineStr">
        <is>
          <t>Data Security</t>
        </is>
      </c>
      <c r="C24" s="28" t="inlineStr">
        <is>
          <t>Agency system has no restrictions hence data may fall into wrong hands</t>
        </is>
      </c>
      <c r="D24" s="31" t="inlineStr">
        <is>
          <t>Whether agency has restricted access of Desktop / Laptops/ Emails are enabled? Check whether agency do not have access of USB/Floppy/CD drives/Google Drive/Cloud storage/share drive/WhatsApp/any data sharing application for data transfer?</t>
        </is>
      </c>
      <c r="E24" s="32">
        <f>IF(F24="Yes",4,"0")</f>
        <v/>
      </c>
      <c r="F24" s="33" t="inlineStr">
        <is>
          <t>Yes</t>
        </is>
      </c>
      <c r="G24" s="28" t="inlineStr">
        <is>
          <t>Yes the same is complied</t>
        </is>
      </c>
      <c r="H24" s="28" t="inlineStr">
        <is>
          <t>NA</t>
        </is>
      </c>
      <c r="I24" s="27" t="inlineStr"/>
      <c r="J24" s="27" t="inlineStr"/>
    </row>
    <row r="25" ht="90" customHeight="1">
      <c r="A25" s="27" t="n">
        <v>18</v>
      </c>
      <c r="B25" s="28" t="inlineStr">
        <is>
          <t>Data Security</t>
        </is>
      </c>
      <c r="C25" s="28" t="inlineStr">
        <is>
          <t>Allocation files were not password protected</t>
        </is>
      </c>
      <c r="D25" s="31" t="inlineStr">
        <is>
          <t>Whether data shared through mail are password protected / appropriate security measures are adopted by agency?</t>
        </is>
      </c>
      <c r="E25" s="32">
        <f>IF(F25="Yes",2,"0")</f>
        <v/>
      </c>
      <c r="F25" s="33" t="inlineStr">
        <is>
          <t>Yes</t>
        </is>
      </c>
      <c r="G25" s="28" t="inlineStr">
        <is>
          <t>Yes the same is complied</t>
        </is>
      </c>
      <c r="H25" s="28" t="inlineStr">
        <is>
          <t>NA</t>
        </is>
      </c>
      <c r="I25" s="27" t="inlineStr"/>
      <c r="J25" s="27" t="inlineStr"/>
    </row>
    <row r="26" ht="110.1" customHeight="1">
      <c r="A26" s="27" t="n">
        <v>19</v>
      </c>
      <c r="B26" s="28" t="inlineStr">
        <is>
          <t>Data Security</t>
        </is>
      </c>
      <c r="C26" s="28" t="inlineStr">
        <is>
          <t>Data is being shared on unregistered email ids</t>
        </is>
      </c>
      <c r="D26" s="28" t="inlineStr">
        <is>
          <t>Whether any mail containing financial institution's data sent to third party / unregistered mail Ids / unauthorized sharing? Customer Call/Chat on unauthorized channels like what's ap/Facebook or any other unauthorized mode of communication? In case agencies using secondary mail id, it must be documented with TCL team.</t>
        </is>
      </c>
      <c r="E26" s="32">
        <f>IF(F26="Yes",3,"0")</f>
        <v/>
      </c>
      <c r="F26" s="35" t="inlineStr">
        <is>
          <t>No</t>
        </is>
      </c>
      <c r="G26" s="36" t="inlineStr">
        <is>
          <t>Communication/Data shared through mail by the agency to unauthorised Email ID (Email : associatesjena@gmail.com)</t>
        </is>
      </c>
      <c r="H26" s="36" t="inlineStr">
        <is>
          <t>Agency will take care in the future</t>
        </is>
      </c>
      <c r="I26" s="38" t="inlineStr"/>
      <c r="J26" s="38" t="inlineStr"/>
    </row>
    <row r="27" ht="90" customHeight="1">
      <c r="A27" s="27" t="n">
        <v>20</v>
      </c>
      <c r="B27" s="28" t="inlineStr">
        <is>
          <t>Data Security</t>
        </is>
      </c>
      <c r="C27" s="28" t="inlineStr">
        <is>
          <t>Data purging is not being done – Old allocation files were available in agency's system</t>
        </is>
      </c>
      <c r="D27" s="31" t="inlineStr">
        <is>
          <t>Whether agency has purged data as per policy?</t>
        </is>
      </c>
      <c r="E27" s="32">
        <f>IF(F27="Yes",3,"0")</f>
        <v/>
      </c>
      <c r="F27" s="35" t="inlineStr">
        <is>
          <t>No</t>
        </is>
      </c>
      <c r="G27" s="36" t="inlineStr">
        <is>
          <t>Data is not purged from system as per the TCL process (maintained Since December 2025)</t>
        </is>
      </c>
      <c r="H27" s="36" t="inlineStr">
        <is>
          <t>Agency will purge the old data as per policy</t>
        </is>
      </c>
      <c r="I27" s="38" t="inlineStr"/>
      <c r="J27" s="38" t="inlineStr"/>
    </row>
    <row r="28" ht="90" customHeight="1">
      <c r="A28" s="27" t="n">
        <v>21</v>
      </c>
      <c r="B28" s="28" t="inlineStr">
        <is>
          <t>Data Security</t>
        </is>
      </c>
      <c r="C28" s="28" t="inlineStr">
        <is>
          <t>Data Retention</t>
        </is>
      </c>
      <c r="D28" s="31" t="inlineStr">
        <is>
          <t>Whether data has been retained at the agency's system and Email ID as per policy (T+3 months)?</t>
        </is>
      </c>
      <c r="E28" s="32">
        <f>IF(F28="Yes",2,"0")</f>
        <v/>
      </c>
      <c r="F28" s="33" t="inlineStr">
        <is>
          <t>Yes</t>
        </is>
      </c>
      <c r="G28" s="28" t="inlineStr">
        <is>
          <t>Yes the same is complied</t>
        </is>
      </c>
      <c r="H28" s="28" t="inlineStr">
        <is>
          <t>NA</t>
        </is>
      </c>
      <c r="I28" s="27" t="inlineStr"/>
      <c r="J28" s="27" t="inlineStr"/>
    </row>
    <row r="29" ht="90" customHeight="1">
      <c r="A29" s="27" t="n">
        <v>22</v>
      </c>
      <c r="B29" s="28" t="inlineStr">
        <is>
          <t>Data Security</t>
        </is>
      </c>
      <c r="C29" s="28" t="inlineStr">
        <is>
          <t>Agency system has no restrictions hence data may fall into wrong hands</t>
        </is>
      </c>
      <c r="D29" s="31" t="inlineStr">
        <is>
          <t>Check whether agency do not have access of any internal access tool like SFDC/DMS/Any other tool?</t>
        </is>
      </c>
      <c r="E29" s="32">
        <f>IF(F29="Yes",2,"0")</f>
        <v/>
      </c>
      <c r="F29" s="33" t="inlineStr">
        <is>
          <t>Yes</t>
        </is>
      </c>
      <c r="G29" s="28" t="inlineStr">
        <is>
          <t>Yes the same is complied</t>
        </is>
      </c>
      <c r="H29" s="28" t="inlineStr">
        <is>
          <t>NA</t>
        </is>
      </c>
      <c r="I29" s="27" t="inlineStr"/>
      <c r="J29" s="27" t="inlineStr"/>
    </row>
    <row r="30" ht="90" customHeight="1">
      <c r="A30" s="27" t="n">
        <v>23</v>
      </c>
      <c r="B30" s="28" t="inlineStr">
        <is>
          <t>Data Security</t>
        </is>
      </c>
      <c r="C30" s="28" t="inlineStr">
        <is>
          <t>No exclusive system provided to TCL portfolio</t>
        </is>
      </c>
      <c r="D30" s="31" t="inlineStr">
        <is>
          <t>Whether separate/exclusive system, Place/work Station, Email ID and Manpower is provided?</t>
        </is>
      </c>
      <c r="E30" s="32">
        <f>IF(F30="Yes",3,"0")</f>
        <v/>
      </c>
      <c r="F30" s="35" t="inlineStr">
        <is>
          <t>No</t>
        </is>
      </c>
      <c r="G30" s="36" t="inlineStr">
        <is>
          <t>Common mail account and system is used for TCL and other Banks/NBFCs (Bajaj, IDFC, Jana Bank etc)</t>
        </is>
      </c>
      <c r="H30" s="36" t="inlineStr">
        <is>
          <t>Agency will maintained separate mail and system for TCL</t>
        </is>
      </c>
      <c r="I30" s="38" t="inlineStr"/>
      <c r="J30" s="38" t="inlineStr"/>
    </row>
    <row r="31" ht="90" customHeight="1">
      <c r="A31" s="27" t="n">
        <v>24</v>
      </c>
      <c r="B31" s="28" t="inlineStr">
        <is>
          <t>Infra and others</t>
        </is>
      </c>
      <c r="C31" s="28" t="inlineStr">
        <is>
          <t>Current address is not updated to TCL</t>
        </is>
      </c>
      <c r="D31" s="28" t="inlineStr">
        <is>
          <t>Whether agency has updated address &amp; other details in company records and, In case agency providing services in  multiple locations to TCL Collection then it must be documented with TCL team.</t>
        </is>
      </c>
      <c r="E31" s="32">
        <f>IF(F31="Yes",1,"0")</f>
        <v/>
      </c>
      <c r="F31" s="35" t="inlineStr">
        <is>
          <t>No</t>
        </is>
      </c>
      <c r="G31" s="36" t="inlineStr">
        <is>
          <t>Operating address of agency is not updated in the TCL records.</t>
        </is>
      </c>
      <c r="H31" s="36" t="inlineStr">
        <is>
          <t>Agency will discuss with the collection manager</t>
        </is>
      </c>
      <c r="I31" s="38" t="inlineStr"/>
      <c r="J31" s="38" t="inlineStr"/>
    </row>
    <row r="32" ht="90" customHeight="1">
      <c r="A32" s="27" t="n">
        <v>25</v>
      </c>
      <c r="B32" s="28" t="inlineStr">
        <is>
          <t>Infra and others</t>
        </is>
      </c>
      <c r="C32" s="28" t="inlineStr">
        <is>
          <t>Not cooperated by agency during audit</t>
        </is>
      </c>
      <c r="D32" s="31" t="inlineStr">
        <is>
          <t>Whether full cooperation/complete &amp; timely data was received from agency for completing audit?</t>
        </is>
      </c>
      <c r="E32" s="32">
        <f>IF(F32="Yes",1,"0")</f>
        <v/>
      </c>
      <c r="F32" s="33" t="inlineStr">
        <is>
          <t>Yes</t>
        </is>
      </c>
      <c r="G32" s="28" t="inlineStr">
        <is>
          <t>Yes the same is complied</t>
        </is>
      </c>
      <c r="H32" s="28" t="inlineStr">
        <is>
          <t>NA</t>
        </is>
      </c>
      <c r="I32" s="27" t="inlineStr"/>
      <c r="J32" s="27" t="inlineStr"/>
    </row>
    <row r="33" ht="90" customHeight="1">
      <c r="A33" s="27" t="n">
        <v>26</v>
      </c>
      <c r="B33" s="28" t="inlineStr">
        <is>
          <t>Infra and others</t>
        </is>
      </c>
      <c r="C33" s="34" t="inlineStr">
        <is>
          <t>Vendor code not created</t>
        </is>
      </c>
      <c r="D33" s="31" t="inlineStr">
        <is>
          <t>Whether allocation for Collection cases given to the agency post vendor code creation only?</t>
        </is>
      </c>
      <c r="E33" s="32">
        <f>IF(F33="Yes",1,"0")</f>
        <v/>
      </c>
      <c r="F33" s="33" t="inlineStr">
        <is>
          <t>Yes</t>
        </is>
      </c>
      <c r="G33" s="28" t="inlineStr">
        <is>
          <t>Yes the same is complied</t>
        </is>
      </c>
      <c r="H33" s="28" t="inlineStr">
        <is>
          <t>NA</t>
        </is>
      </c>
      <c r="I33" s="27" t="inlineStr"/>
      <c r="J33" s="27" t="inlineStr"/>
    </row>
    <row r="34" ht="90" customHeight="1">
      <c r="A34" s="27" t="n">
        <v>27</v>
      </c>
      <c r="B34" s="28" t="inlineStr">
        <is>
          <t>Infra and others</t>
        </is>
      </c>
      <c r="C34" s="28" t="inlineStr">
        <is>
          <t>Tata capital's name being used in agency office</t>
        </is>
      </c>
      <c r="D34" s="31" t="inlineStr">
        <is>
          <t>Has the agency made any reference to company's name on the his's name board &amp; e-mail ?</t>
        </is>
      </c>
      <c r="E34" s="32">
        <f>IF(F34="Yes",1,"0")</f>
        <v/>
      </c>
      <c r="F34" s="33" t="inlineStr">
        <is>
          <t>Yes</t>
        </is>
      </c>
      <c r="G34" s="28" t="inlineStr">
        <is>
          <t>Yes the same is complied</t>
        </is>
      </c>
      <c r="H34" s="28" t="inlineStr">
        <is>
          <t>NA</t>
        </is>
      </c>
      <c r="I34" s="27" t="inlineStr"/>
      <c r="J34" s="27" t="inlineStr"/>
    </row>
    <row r="35" ht="90" customHeight="1">
      <c r="A35" s="27" t="n">
        <v>28</v>
      </c>
      <c r="B35" s="28" t="inlineStr">
        <is>
          <t>Identity cards</t>
        </is>
      </c>
      <c r="C35" s="28" t="inlineStr">
        <is>
          <t>All CREs have valid ID Cards of TCL</t>
        </is>
      </c>
      <c r="D35" s="28" t="inlineStr">
        <is>
          <t>Whether all active CREs working for TCL portfolio having Digital ID Cards with them? Also, check whether any executive using unauthorized ID card while on field?</t>
        </is>
      </c>
      <c r="E35" s="32">
        <f>IF(F35="Yes",3,"0")</f>
        <v/>
      </c>
      <c r="F35" s="33" t="inlineStr">
        <is>
          <t>Yes</t>
        </is>
      </c>
      <c r="G35" s="28" t="inlineStr">
        <is>
          <t>Yes the same is complied</t>
        </is>
      </c>
      <c r="H35" s="28" t="inlineStr">
        <is>
          <t>NA</t>
        </is>
      </c>
      <c r="I35" s="27" t="inlineStr"/>
      <c r="J35" s="27" t="inlineStr"/>
    </row>
    <row r="36" ht="90" customHeight="1">
      <c r="A36" s="27" t="n">
        <v>29</v>
      </c>
      <c r="B36" s="28" t="inlineStr">
        <is>
          <t>Identity cards</t>
        </is>
      </c>
      <c r="C36" s="28" t="inlineStr">
        <is>
          <t>If assigned CRE resigned/terminated it is not communicated to TCL</t>
        </is>
      </c>
      <c r="D36" s="31" t="inlineStr">
        <is>
          <t>In case of resignation / termination of any executive whether it is communicated within TAT of 24 hours; (M-collect ID should be deactivated )</t>
        </is>
      </c>
      <c r="E36" s="32">
        <f>IF(F36="Yes",2,"0")</f>
        <v/>
      </c>
      <c r="F36" s="33" t="inlineStr">
        <is>
          <t>Yes</t>
        </is>
      </c>
      <c r="G36" s="28" t="inlineStr">
        <is>
          <t>No such cases have been observed</t>
        </is>
      </c>
      <c r="H36" s="28" t="inlineStr">
        <is>
          <t>NA</t>
        </is>
      </c>
      <c r="I36" s="27" t="inlineStr"/>
      <c r="J36" s="27" t="inlineStr"/>
    </row>
    <row r="37" ht="90" customHeight="1">
      <c r="A37" s="27" t="n">
        <v>30</v>
      </c>
      <c r="B37" s="28" t="inlineStr">
        <is>
          <t>Identity cards</t>
        </is>
      </c>
      <c r="C37" s="28" t="inlineStr">
        <is>
          <t>Not all CREs have M Collect ID's</t>
        </is>
      </c>
      <c r="D37" s="31" t="inlineStr">
        <is>
          <t>Whether all active CRE has M-collect ID in system? (M-collect should be active)
Is there M-collect ID of any CRE being used by another CRE?</t>
        </is>
      </c>
      <c r="E37" s="32">
        <f>IF(F37="Yes",4,"0")</f>
        <v/>
      </c>
      <c r="F37" s="33" t="inlineStr">
        <is>
          <t>Yes</t>
        </is>
      </c>
      <c r="G37" s="28" t="inlineStr">
        <is>
          <t>Yes the same is complied</t>
        </is>
      </c>
      <c r="H37" s="28" t="inlineStr">
        <is>
          <t>NA</t>
        </is>
      </c>
      <c r="I37" s="27" t="inlineStr"/>
      <c r="J37" s="27" t="inlineStr"/>
    </row>
    <row r="38" ht="90" customHeight="1">
      <c r="A38" s="27" t="n">
        <v>31</v>
      </c>
      <c r="B38" s="28" t="inlineStr">
        <is>
          <t>Identity cards</t>
        </is>
      </c>
      <c r="C38" s="28" t="inlineStr">
        <is>
          <t>PV report not available</t>
        </is>
      </c>
      <c r="D38" s="31" t="inlineStr">
        <is>
          <t xml:space="preserve">Whether all agency executives, backends, Supervisor,Proprieter, CRE's Police verification are vetted &amp; no negative Police verification CRE's are working at the agency? </t>
        </is>
      </c>
      <c r="E38" s="32">
        <f>IF(F38="Yes",3,"0")</f>
        <v/>
      </c>
      <c r="F38" s="33" t="inlineStr">
        <is>
          <t>Yes</t>
        </is>
      </c>
      <c r="G38" s="28" t="inlineStr">
        <is>
          <t>Yes the same is complied</t>
        </is>
      </c>
      <c r="H38" s="28" t="inlineStr">
        <is>
          <t>NA</t>
        </is>
      </c>
      <c r="I38" s="27" t="inlineStr"/>
      <c r="J38" s="27" t="inlineStr"/>
    </row>
    <row r="39" ht="90" customHeight="1">
      <c r="A39" s="27" t="n">
        <v>32</v>
      </c>
      <c r="B39" s="28" t="inlineStr">
        <is>
          <t>Record Management</t>
        </is>
      </c>
      <c r="C39" s="28" t="inlineStr">
        <is>
          <t>Collection Deposit sheets not maintained by agency office</t>
        </is>
      </c>
      <c r="D39" s="31" t="inlineStr">
        <is>
          <t>Whether Collection deposit slips maintain by agency?</t>
        </is>
      </c>
      <c r="E39" s="32" t="inlineStr">
        <is>
          <t>Only Observation Point</t>
        </is>
      </c>
      <c r="F39" s="33" t="inlineStr">
        <is>
          <t>Yes</t>
        </is>
      </c>
      <c r="G39" s="28" t="inlineStr">
        <is>
          <t>No such case has been observed</t>
        </is>
      </c>
      <c r="H39" s="28" t="inlineStr">
        <is>
          <t>NA</t>
        </is>
      </c>
      <c r="I39" s="27" t="inlineStr"/>
      <c r="J39" s="27" t="inlineStr"/>
    </row>
    <row r="40" ht="90" customHeight="1">
      <c r="A40" s="27" t="n">
        <v>33</v>
      </c>
      <c r="B40" s="28" t="inlineStr">
        <is>
          <t>Record Management</t>
        </is>
      </c>
      <c r="C40" s="28" t="inlineStr">
        <is>
          <t>Feedback file not shared on daily basis</t>
        </is>
      </c>
      <c r="D40" s="31" t="inlineStr">
        <is>
          <t>Whether all allocated cases feedback are getting reviewed by collection manager every month?</t>
        </is>
      </c>
      <c r="E40" s="32">
        <f>IF(F40="Yes",1,"0")</f>
        <v/>
      </c>
      <c r="F40" s="35" t="inlineStr">
        <is>
          <t>No</t>
        </is>
      </c>
      <c r="G40" s="36" t="inlineStr">
        <is>
          <t>Feedback file not shared on daily basis</t>
        </is>
      </c>
      <c r="H40" s="36" t="inlineStr">
        <is>
          <t>Agency will take care in the future</t>
        </is>
      </c>
      <c r="I40" s="38" t="inlineStr"/>
      <c r="J40" s="38" t="inlineStr"/>
    </row>
    <row r="41" ht="90" customHeight="1">
      <c r="A41" s="27" t="n">
        <v>34</v>
      </c>
      <c r="B41" s="28" t="inlineStr">
        <is>
          <t>Record Management</t>
        </is>
      </c>
      <c r="C41" s="28" t="inlineStr">
        <is>
          <t xml:space="preserve">TCOC training not recorded </t>
        </is>
      </c>
      <c r="D41" s="28" t="inlineStr">
        <is>
          <t>Whether Training tracker in the Blue Book has been properly filled with all necessary fields and maintained at agency?</t>
        </is>
      </c>
      <c r="E41" s="32">
        <f>IF(F41="Yes",2,"0")</f>
        <v/>
      </c>
      <c r="F41" s="35" t="inlineStr">
        <is>
          <t>No</t>
        </is>
      </c>
      <c r="G41" s="36" t="inlineStr">
        <is>
          <t>Complete/correct details are not mentioned on the Training tracker (Training Date not matching with Training letter - April and May 2026)</t>
        </is>
      </c>
      <c r="H41" s="36" t="inlineStr">
        <is>
          <t>Agency will take care in the future</t>
        </is>
      </c>
      <c r="I41" s="38" t="inlineStr"/>
      <c r="J41" s="39" t="inlineStr"/>
    </row>
    <row r="42" ht="90" customHeight="1">
      <c r="A42" s="27" t="n">
        <v>35</v>
      </c>
      <c r="B42" s="28" t="inlineStr">
        <is>
          <t>Record Management</t>
        </is>
      </c>
      <c r="C42" s="28" t="inlineStr">
        <is>
          <t>Trails are not being updated at 100%</t>
        </is>
      </c>
      <c r="D42" s="31" t="inlineStr">
        <is>
          <t>Whether 100% of trails uploaded by agency for cases allocated to them? All trails are uploaded should be quality trails.</t>
        </is>
      </c>
      <c r="E42" s="32">
        <f>IF(F42="Yes",2,"0")</f>
        <v/>
      </c>
      <c r="F42" s="35" t="inlineStr">
        <is>
          <t>No</t>
        </is>
      </c>
      <c r="G42" s="36" t="inlineStr">
        <is>
          <t>Trails for certain cases have not been uploaded by the agency (March 2026 - TCFTW0538000011789283, TCFTW0538000013136158; May 2026 - TCFTW0538000012823685, TCFTW0538000013828714)</t>
        </is>
      </c>
      <c r="H42" s="36" t="inlineStr">
        <is>
          <t>Agency will discuss with Manager</t>
        </is>
      </c>
      <c r="I42" s="38" t="inlineStr"/>
      <c r="J42" s="39" t="inlineStr"/>
    </row>
    <row r="43" ht="90" customHeight="1">
      <c r="A43" s="27" t="n">
        <v>36</v>
      </c>
      <c r="B43" s="28" t="inlineStr">
        <is>
          <t>Record Management</t>
        </is>
      </c>
      <c r="C43" s="28" t="inlineStr">
        <is>
          <t>Vendor agreement not available at agency office</t>
        </is>
      </c>
      <c r="D43" s="31" t="inlineStr">
        <is>
          <t xml:space="preserve">Whether the valid vendor agreement and the latest pay-out grid maintained at the agency? </t>
        </is>
      </c>
      <c r="E43" s="32">
        <f>IF(F43="Yes",2,"0")</f>
        <v/>
      </c>
      <c r="F43" s="35" t="inlineStr">
        <is>
          <t>No</t>
        </is>
      </c>
      <c r="G43" s="36" t="inlineStr">
        <is>
          <t>Valid vendor agreement is not available with the agency (Collection - 16th June 2020 - Validity not mentioned). Also, Details filled as Company instead of Proprietorship - Score not impacted</t>
        </is>
      </c>
      <c r="H43" s="36" t="inlineStr">
        <is>
          <t>Agency will discuss with the collection manager</t>
        </is>
      </c>
      <c r="I43" s="38" t="inlineStr"/>
      <c r="J43" s="39" t="inlineStr"/>
    </row>
    <row r="44" ht="90" customHeight="1">
      <c r="A44" s="27" t="n">
        <v>37</v>
      </c>
      <c r="B44" s="28" t="inlineStr">
        <is>
          <t>Record Management</t>
        </is>
      </c>
      <c r="C44" s="28" t="inlineStr">
        <is>
          <t>Collection agents are DRA Certified</t>
        </is>
      </c>
      <c r="D44" s="31" t="inlineStr">
        <is>
          <t xml:space="preserve"> Check whether all CRE's are DRA Certified?</t>
        </is>
      </c>
      <c r="E44" s="32">
        <f>IF(F44="Yes",1,"0")</f>
        <v/>
      </c>
      <c r="F44" s="33" t="inlineStr">
        <is>
          <t>Yes</t>
        </is>
      </c>
      <c r="G44" s="28" t="inlineStr">
        <is>
          <t>Yes the same is complied</t>
        </is>
      </c>
      <c r="H44" s="28" t="inlineStr">
        <is>
          <t>NA</t>
        </is>
      </c>
      <c r="I44" s="27" t="inlineStr"/>
      <c r="J44" s="27" t="inlineStr"/>
    </row>
    <row r="45" ht="90" customHeight="1">
      <c r="A45" s="27" t="n">
        <v>38</v>
      </c>
      <c r="B45" s="28" t="inlineStr">
        <is>
          <t>Record Management</t>
        </is>
      </c>
      <c r="C45" s="28" t="inlineStr">
        <is>
          <t>Blue Book</t>
        </is>
      </c>
      <c r="D45" s="31" t="inlineStr">
        <is>
          <t>Whether blue book is available at the Agency?</t>
        </is>
      </c>
      <c r="E45" s="32">
        <f>IF(F45="Yes",2,"0")</f>
        <v/>
      </c>
      <c r="F45" s="33" t="inlineStr">
        <is>
          <t>Yes</t>
        </is>
      </c>
      <c r="G45" s="28" t="inlineStr">
        <is>
          <t>Yes the same is complied</t>
        </is>
      </c>
      <c r="H45" s="28" t="inlineStr">
        <is>
          <t>NA</t>
        </is>
      </c>
      <c r="I45" s="27" t="inlineStr"/>
      <c r="J45" s="27" t="inlineStr"/>
    </row>
    <row r="46" ht="90" customHeight="1">
      <c r="A46" s="27" t="n">
        <v>39</v>
      </c>
      <c r="B46" s="28" t="inlineStr">
        <is>
          <t>Record Management</t>
        </is>
      </c>
      <c r="C46" s="28" t="inlineStr">
        <is>
          <t>Declaration cum undertaking in blue book</t>
        </is>
      </c>
      <c r="D46" s="31" t="inlineStr">
        <is>
          <t>Whether Declaration Cum Undertaking is filled and signed by the agency and CM/CCM in the Blue Book every month?</t>
        </is>
      </c>
      <c r="E46" s="32">
        <f>IF(F46="Yes",1,"0")</f>
        <v/>
      </c>
      <c r="F46" s="33" t="inlineStr">
        <is>
          <t>Yes</t>
        </is>
      </c>
      <c r="G46" s="28" t="inlineStr">
        <is>
          <t>Yes the same is complied</t>
        </is>
      </c>
      <c r="H46" s="28" t="inlineStr">
        <is>
          <t>NA</t>
        </is>
      </c>
      <c r="I46" s="27" t="inlineStr"/>
      <c r="J46" s="27" t="inlineStr"/>
    </row>
    <row r="47" ht="90" customHeight="1">
      <c r="A47" s="27" t="n">
        <v>40</v>
      </c>
      <c r="B47" s="28" t="inlineStr">
        <is>
          <t>Record Management</t>
        </is>
      </c>
      <c r="C47" s="28" t="inlineStr">
        <is>
          <t>Monthly Audit and Compliance Checkpoints</t>
        </is>
      </c>
      <c r="D47" s="31" t="inlineStr">
        <is>
          <t>Monthly Audit and Compliance checkpoints have been done and details to be correctly/completely filled and maintained at agency in the Blue Book?</t>
        </is>
      </c>
      <c r="E47" s="32">
        <f>IF(F47="Yes",2,"0")</f>
        <v/>
      </c>
      <c r="F47" s="35" t="inlineStr">
        <is>
          <t>No</t>
        </is>
      </c>
      <c r="G47" s="36" t="inlineStr">
        <is>
          <t>Complete/correct details are not mentioned on the Monthly Audit and Compliance Checkpoints sheet (Incorrect status of Point no. 9,12,17,19 etc)</t>
        </is>
      </c>
      <c r="H47" s="36" t="inlineStr">
        <is>
          <t>Agency will take care in the future</t>
        </is>
      </c>
      <c r="I47" s="38" t="inlineStr"/>
      <c r="J47" s="39" t="inlineStr"/>
    </row>
    <row r="48" ht="90" customHeight="1">
      <c r="A48" s="27" t="n">
        <v>41</v>
      </c>
      <c r="B48" s="28" t="inlineStr">
        <is>
          <t>Record Management</t>
        </is>
      </c>
      <c r="C48" s="28" t="inlineStr">
        <is>
          <t xml:space="preserve">Infrastructure declaration </t>
        </is>
      </c>
      <c r="D48" s="31" t="inlineStr">
        <is>
          <t>Infrastructure declaration to be submitted by the agency every month in the blue book</t>
        </is>
      </c>
      <c r="E48" s="32">
        <f>IF(F48="Yes",2,"0")</f>
        <v/>
      </c>
      <c r="F48" s="35" t="inlineStr">
        <is>
          <t>No</t>
        </is>
      </c>
      <c r="G48" s="36" t="inlineStr">
        <is>
          <t>Complete/correct details are not mentioned on the infrastructure declaration (June 2026 not filled - Score not impacted, System Serial no. not mentioned)</t>
        </is>
      </c>
      <c r="H48" s="36" t="inlineStr">
        <is>
          <t>Agency will update the details and shared the evidence on mail for verification</t>
        </is>
      </c>
      <c r="I48" s="38" t="inlineStr"/>
      <c r="J48" s="38" t="inlineStr"/>
    </row>
    <row r="49" ht="90" customHeight="1">
      <c r="A49" s="27" t="n">
        <v>42</v>
      </c>
      <c r="B49" s="28" t="inlineStr">
        <is>
          <t>Record Management</t>
        </is>
      </c>
      <c r="C49" s="28" t="inlineStr">
        <is>
          <t>NDC not shared</t>
        </is>
      </c>
      <c r="D49" s="31" t="inlineStr">
        <is>
          <t>Whether NDC is provided by the agency on quarterly basis? 
Whether any pending bill is available at agency?(Only Observation)</t>
        </is>
      </c>
      <c r="E49" s="32">
        <f>IF(F49="Yes",1,"0")</f>
        <v/>
      </c>
      <c r="F49" s="35" t="inlineStr">
        <is>
          <t>No</t>
        </is>
      </c>
      <c r="G49" s="36" t="inlineStr">
        <is>
          <t>NDC mail/letter not provided by the agency</t>
        </is>
      </c>
      <c r="H49" s="36" t="inlineStr">
        <is>
          <t>As per agency, they have not given any NDC as format not received from TCL, they will discuss with collection Manager</t>
        </is>
      </c>
      <c r="I49" s="38" t="inlineStr"/>
      <c r="J49" s="39" t="inlineStr"/>
    </row>
    <row r="50" ht="90" customHeight="1">
      <c r="A50" s="27" t="n">
        <v>43</v>
      </c>
      <c r="B50" s="28" t="inlineStr">
        <is>
          <t>Record Management</t>
        </is>
      </c>
      <c r="C50" s="28" t="inlineStr">
        <is>
          <t>NDC not recorded in Blue Book</t>
        </is>
      </c>
      <c r="D50" s="31" t="inlineStr">
        <is>
          <t>No Dues Certificate to be printed and maintained and data to be recorded in the Blue Book.</t>
        </is>
      </c>
      <c r="E50" s="32">
        <f>IF(F50="Yes",1,"0")</f>
        <v/>
      </c>
      <c r="F50" s="33" t="inlineStr">
        <is>
          <t>Yes</t>
        </is>
      </c>
      <c r="G50" s="28" t="inlineStr">
        <is>
          <t>Blank page found as agency not given any NDC to TCL</t>
        </is>
      </c>
      <c r="H50" s="28" t="inlineStr">
        <is>
          <t>As per agency, they have not given any NDC as format not received from TCL, they will discuss with collection Manager</t>
        </is>
      </c>
      <c r="I50" s="27" t="inlineStr"/>
      <c r="J50" s="27" t="inlineStr"/>
    </row>
    <row r="51" ht="90" customHeight="1">
      <c r="A51" s="27" t="n">
        <v>44</v>
      </c>
      <c r="B51" s="28" t="inlineStr">
        <is>
          <t>Record Management</t>
        </is>
      </c>
      <c r="C51" s="28" t="inlineStr">
        <is>
          <t>KYC of all agents not available</t>
        </is>
      </c>
      <c r="D51" s="31" t="inlineStr">
        <is>
          <t>Check whether All CRE's , Backend, Supervisor KYC maintained and Aadhaar masking done at Agency ? Also check whether OSV done For CRE's by Collection Team?</t>
        </is>
      </c>
      <c r="E51" s="32">
        <f>IF(F51="Yes",1,"0")</f>
        <v/>
      </c>
      <c r="F51" s="35" t="inlineStr">
        <is>
          <t>No</t>
        </is>
      </c>
      <c r="G51" s="36" t="inlineStr">
        <is>
          <t>OSV not done for CRE's by collection team (Om Pratyus Jena, Rupa Nayak)</t>
        </is>
      </c>
      <c r="H51" s="36" t="inlineStr">
        <is>
          <t>Agency will get OSV done on the KYC documents and share on mail for verification</t>
        </is>
      </c>
      <c r="I51" s="38" t="inlineStr"/>
      <c r="J51" s="38" t="inlineStr"/>
    </row>
    <row r="52" ht="90" customHeight="1">
      <c r="A52" s="27" t="n">
        <v>45</v>
      </c>
      <c r="B52" s="28" t="inlineStr">
        <is>
          <t>Record Management</t>
        </is>
      </c>
      <c r="C52" s="28" t="inlineStr">
        <is>
          <t xml:space="preserve">Data Purging Declaration </t>
        </is>
      </c>
      <c r="D52" s="28" t="inlineStr">
        <is>
          <t>Whether agency has submitted Data Purging Declaration and recorded in the blue book every month? (T+3 months)</t>
        </is>
      </c>
      <c r="E52" s="32">
        <f>IF(F52="Yes",1,"0")</f>
        <v/>
      </c>
      <c r="F52" s="35" t="inlineStr">
        <is>
          <t>No</t>
        </is>
      </c>
      <c r="G52" s="36" t="inlineStr">
        <is>
          <t>Complete/correct details are not mentioned on the Data Purging declaration (June 2026 - not filled - Score not impacted, incorrect Data deleted on date)</t>
        </is>
      </c>
      <c r="H52" s="36" t="inlineStr">
        <is>
          <t>Agency will take care in the future</t>
        </is>
      </c>
      <c r="I52" s="38" t="inlineStr"/>
      <c r="J52" s="38" t="inlineStr"/>
    </row>
    <row r="53" ht="90" customHeight="1">
      <c r="A53" s="27" t="n">
        <v>46</v>
      </c>
      <c r="B53" s="28" t="inlineStr">
        <is>
          <t>Record Management</t>
        </is>
      </c>
      <c r="C53" s="28" t="inlineStr">
        <is>
          <t>Agency Manpower Register</t>
        </is>
      </c>
      <c r="D53" s="28" t="inlineStr">
        <is>
          <t>Whether all CRE details are captured in the agency manpower register in the Blue Book ?</t>
        </is>
      </c>
      <c r="E53" s="32">
        <f>IF(F53="Yes",1,"0")</f>
        <v/>
      </c>
      <c r="F53" s="33" t="inlineStr">
        <is>
          <t>Yes</t>
        </is>
      </c>
      <c r="G53" s="28" t="inlineStr">
        <is>
          <t>Complete/correct details are not mentioned on the Agency Manpower register (June 2026 not filled - Score not impacted)</t>
        </is>
      </c>
      <c r="H53" s="28" t="inlineStr">
        <is>
          <t>Agency will update the details and shared the evidence on mail for verification</t>
        </is>
      </c>
      <c r="I53" s="27" t="inlineStr"/>
      <c r="J53" s="27" t="inlineStr"/>
    </row>
    <row r="54" ht="90" customHeight="1">
      <c r="A54" s="27" t="n">
        <v>47</v>
      </c>
      <c r="B54" s="28" t="inlineStr">
        <is>
          <t>Record Management</t>
        </is>
      </c>
      <c r="C54" s="28" t="inlineStr">
        <is>
          <t>Vendor performance document not available at agency office</t>
        </is>
      </c>
      <c r="D54" s="31" t="inlineStr">
        <is>
          <t>Whether monthly vendor performance review is documented with complete &amp; correct details in blue book every month. All Allocated cases to be documented in blue book correctly. (To check/validate the same during audit).</t>
        </is>
      </c>
      <c r="E54" s="32">
        <f>IF(F54="Yes",2,"0")</f>
        <v/>
      </c>
      <c r="F54" s="35" t="inlineStr">
        <is>
          <t>No</t>
        </is>
      </c>
      <c r="G54" s="36" t="inlineStr">
        <is>
          <t>Complete/correct details are not mentioned on the Vendor performance review (May not filled, Incorrect Status of Call recording, Bill pending status)</t>
        </is>
      </c>
      <c r="H54" s="36" t="inlineStr">
        <is>
          <t>Agency will take care in the future</t>
        </is>
      </c>
      <c r="I54" s="38" t="inlineStr"/>
      <c r="J54" s="39" t="inlineStr"/>
    </row>
    <row r="55" ht="90" customHeight="1">
      <c r="A55" s="27" t="n">
        <v>48</v>
      </c>
      <c r="B55" s="28" t="inlineStr">
        <is>
          <t>Record Management</t>
        </is>
      </c>
      <c r="C55" s="28" t="inlineStr">
        <is>
          <t>Visitor register not available</t>
        </is>
      </c>
      <c r="D55" s="31" t="inlineStr">
        <is>
          <t>Whether agency maintains TCL visitor details in in Blue Book every month? Also, check if Manager / Senior manager visiting the agency signs the visiting register maintained at the agency.</t>
        </is>
      </c>
      <c r="E55" s="32">
        <f>IF(F55="Yes",1,"0")</f>
        <v/>
      </c>
      <c r="F55" s="33" t="inlineStr">
        <is>
          <t>Yes</t>
        </is>
      </c>
      <c r="G55" s="28" t="inlineStr">
        <is>
          <t>Yes the same is complied</t>
        </is>
      </c>
      <c r="H55" s="28" t="inlineStr">
        <is>
          <t>NA</t>
        </is>
      </c>
      <c r="I55" s="27" t="inlineStr"/>
      <c r="J55" s="27" t="inlineStr"/>
    </row>
    <row r="56" ht="110.1" customHeight="1">
      <c r="A56" s="27" t="n">
        <v>49</v>
      </c>
      <c r="B56" s="28" t="inlineStr">
        <is>
          <t>Settlement Compliance</t>
        </is>
      </c>
      <c r="C56" s="28" t="inlineStr">
        <is>
          <t>Settlement non-compliance reported at agency</t>
        </is>
      </c>
      <c r="D56" s="31" t="inlineStr">
        <is>
          <t>Whether any Settlement non-compliance reported in agency? If yes then how many cases were there?
(Sample check of settlement cases to checked - required to verify this point)
For e.g. Is there any instances of money collected before settlement approval or void settlement?</t>
        </is>
      </c>
      <c r="E56" s="32">
        <f>IF(F56="Yes",3,"0")</f>
        <v/>
      </c>
      <c r="F56" s="33" t="inlineStr">
        <is>
          <t>Yes</t>
        </is>
      </c>
      <c r="G56" s="28" t="inlineStr">
        <is>
          <t>No such case has been observed</t>
        </is>
      </c>
      <c r="H56" s="28" t="inlineStr">
        <is>
          <t>NA</t>
        </is>
      </c>
      <c r="I56" s="27" t="inlineStr"/>
      <c r="J56" s="27" t="inlineStr"/>
    </row>
    <row r="57" ht="90" customHeight="1">
      <c r="A57" s="27" t="n">
        <v>50</v>
      </c>
      <c r="B57" s="28" t="inlineStr">
        <is>
          <t>Settlement Compliance</t>
        </is>
      </c>
      <c r="C57" s="28" t="inlineStr">
        <is>
          <t>Settlement requests are not being shared with CM/RCM over email</t>
        </is>
      </c>
      <c r="D57" s="31" t="inlineStr">
        <is>
          <t>Whether Settlement requests being raised only after informing CM/RCM over email with proper details?</t>
        </is>
      </c>
      <c r="E57" s="32" t="inlineStr">
        <is>
          <t>Only Observation Point</t>
        </is>
      </c>
      <c r="F57" s="33" t="inlineStr">
        <is>
          <t>Yes</t>
        </is>
      </c>
      <c r="G57" s="28" t="inlineStr">
        <is>
          <t>No such case has been observed</t>
        </is>
      </c>
      <c r="H57" s="28" t="inlineStr">
        <is>
          <t>NA</t>
        </is>
      </c>
      <c r="I57" s="27" t="inlineStr"/>
      <c r="J57" s="27" t="inlineStr"/>
    </row>
    <row r="58" ht="162.75" customHeight="1">
      <c r="A58" s="27" t="n">
        <v>51</v>
      </c>
      <c r="B58" s="28" t="inlineStr">
        <is>
          <t>Miscellaneous</t>
        </is>
      </c>
      <c r="C58" s="28" t="inlineStr">
        <is>
          <t>Customer Escalations received</t>
        </is>
      </c>
      <c r="D58" s="28" t="inlineStr">
        <is>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Incase any penalty has been levied same has been implemented or not, for e.g. Any CRE need to be removed as per Penalty matrix revert, need to check whether that CRE has been removed or not from TCL portfolios</t>
        </is>
      </c>
      <c r="E58" s="32" t="inlineStr">
        <is>
          <t>Only Observation Point</t>
        </is>
      </c>
      <c r="F58" s="33" t="inlineStr">
        <is>
          <t>Yes</t>
        </is>
      </c>
      <c r="G58" s="28" t="inlineStr">
        <is>
          <t>No such case has been observed</t>
        </is>
      </c>
      <c r="H58" s="28" t="inlineStr">
        <is>
          <t>NA</t>
        </is>
      </c>
      <c r="I58" s="27" t="inlineStr"/>
      <c r="J58" s="27" t="inlineStr"/>
    </row>
    <row r="59"/>
    <row r="60">
      <c r="B60" s="45" t="n"/>
    </row>
    <row r="61">
      <c r="B61" s="45" t="n"/>
    </row>
    <row r="62">
      <c r="B62" s="45" t="n"/>
    </row>
  </sheetData>
  <dataValidations count="2">
    <dataValidation sqref="D5:E5" showDropDown="0" showInputMessage="1" showErrorMessage="1" allowBlank="1" type="list">
      <formula1>"Collection Agency, Collection &amp; Repo Agency, Repo Agency"</formula1>
    </dataValidation>
    <dataValidation sqref="F8:F58" showDropDown="0" showInputMessage="1" showErrorMessage="1" allowBlank="1" type="list">
      <formula1>"Yes, No"</formula1>
    </dataValidation>
  </dataValidations>
  <pageMargins left="0.2362204724409449" right="0.2362204724409449" top="0.7480314960629921" bottom="0.7480314960629921" header="0.3149606299212598" footer="0.3149606299212598"/>
  <pageSetup orientation="portrait" paperSize="9" scale="47" fitToHeight="0"/>
</worksheet>
</file>

<file path=xl/worksheets/sheet2.xml><?xml version="1.0" encoding="utf-8"?>
<worksheet xmlns="http://schemas.openxmlformats.org/spreadsheetml/2006/main">
  <sheetPr>
    <outlinePr summaryBelow="1" summaryRight="1"/>
    <pageSetUpPr/>
  </sheetPr>
  <dimension ref="A1:G21"/>
  <sheetViews>
    <sheetView showGridLines="0" workbookViewId="0">
      <selection activeCell="A1" sqref="A1:F13"/>
    </sheetView>
  </sheetViews>
  <sheetFormatPr baseColWidth="8" defaultColWidth="8.6640625" defaultRowHeight="13.8"/>
  <cols>
    <col width="10" bestFit="1" customWidth="1" style="2" min="1" max="1"/>
    <col width="19.109375" bestFit="1" customWidth="1" style="2" min="2" max="2"/>
    <col width="13.6640625" bestFit="1" customWidth="1" style="2" min="3" max="3"/>
    <col width="14" bestFit="1" customWidth="1" style="2" min="4" max="4"/>
    <col width="10.44140625" bestFit="1" customWidth="1" style="2" min="5" max="5"/>
    <col width="14.44140625" bestFit="1" customWidth="1" style="2" min="6" max="6"/>
    <col width="8.6640625" customWidth="1" style="2" min="7" max="16384"/>
  </cols>
  <sheetData>
    <row r="1">
      <c r="A1" s="1" t="inlineStr">
        <is>
          <t>S. No.</t>
        </is>
      </c>
      <c r="B1" s="21" t="inlineStr">
        <is>
          <t>Particulars</t>
        </is>
      </c>
      <c r="C1" s="1" t="inlineStr">
        <is>
          <t>Key Points</t>
        </is>
      </c>
      <c r="D1" s="1" t="inlineStr">
        <is>
          <t>Weightage</t>
        </is>
      </c>
      <c r="E1" s="1" t="inlineStr">
        <is>
          <t>Actual</t>
        </is>
      </c>
      <c r="F1" s="1" t="inlineStr">
        <is>
          <t>Percentage</t>
        </is>
      </c>
    </row>
    <row r="2">
      <c r="A2" s="13" t="n">
        <v>1</v>
      </c>
      <c r="B2" s="14" t="inlineStr">
        <is>
          <t>Allocation Compliance</t>
        </is>
      </c>
      <c r="C2" s="15">
        <f>COUNTIF(Checklist!$B$7:$B$58,B2)</f>
        <v/>
      </c>
      <c r="D2" s="16" t="n">
        <v>3</v>
      </c>
      <c r="E2" s="16">
        <f>SUMIF(Checklist!$B$7:$B$58,'Score Parameters'!B2,Checklist!$E$7:$E$58)</f>
        <v/>
      </c>
      <c r="F2" s="17">
        <f>IFERROR(E2/D2,"-")</f>
        <v/>
      </c>
      <c r="G2" s="3" t="n"/>
    </row>
    <row r="3">
      <c r="A3" s="18" t="n">
        <v>2</v>
      </c>
      <c r="B3" s="14" t="inlineStr">
        <is>
          <t>Call recording</t>
        </is>
      </c>
      <c r="C3" s="15">
        <f>COUNTIF(Checklist!$B$7:$B$58,B3)</f>
        <v/>
      </c>
      <c r="D3" s="16" t="n">
        <v>9</v>
      </c>
      <c r="E3" s="16">
        <f>SUMIF(Checklist!$B$7:$B$58,'Score Parameters'!B3,Checklist!$E$7:$E$58)</f>
        <v/>
      </c>
      <c r="F3" s="17">
        <f>IFERROR(E3/D3,"-")</f>
        <v/>
      </c>
      <c r="G3" s="3" t="n"/>
    </row>
    <row r="4">
      <c r="A4" s="13" t="n">
        <v>3</v>
      </c>
      <c r="B4" s="14" t="inlineStr">
        <is>
          <t>TCOC</t>
        </is>
      </c>
      <c r="C4" s="15">
        <f>COUNTIF(Checklist!$B$7:$B$58,B4)</f>
        <v/>
      </c>
      <c r="D4" s="16" t="n">
        <v>11</v>
      </c>
      <c r="E4" s="16">
        <f>SUMIF(Checklist!$B$7:$B$58,'Score Parameters'!B4,Checklist!$E$7:$E$58)</f>
        <v/>
      </c>
      <c r="F4" s="17">
        <f>IFERROR(E4/D4,"-")</f>
        <v/>
      </c>
      <c r="G4" s="3" t="n"/>
    </row>
    <row r="5">
      <c r="A5" s="18" t="n">
        <v>4</v>
      </c>
      <c r="B5" s="14" t="inlineStr">
        <is>
          <t>Cash Collection</t>
        </is>
      </c>
      <c r="C5" s="15">
        <f>COUNTIF(Checklist!$B$7:$B$58,B5)</f>
        <v/>
      </c>
      <c r="D5" s="16" t="n">
        <v>16</v>
      </c>
      <c r="E5" s="16">
        <f>SUMIF(Checklist!$B$7:$B$58,'Score Parameters'!B5,Checklist!$E$7:$E$58)</f>
        <v/>
      </c>
      <c r="F5" s="17">
        <f>IFERROR(E5/D5,"-")</f>
        <v/>
      </c>
      <c r="G5" s="3" t="n"/>
    </row>
    <row r="6">
      <c r="A6" s="13" t="n">
        <v>5</v>
      </c>
      <c r="B6" s="14" t="inlineStr">
        <is>
          <t>Data Security</t>
        </is>
      </c>
      <c r="C6" s="15">
        <f>COUNTIF(Checklist!$B$7:$B$58,B6)</f>
        <v/>
      </c>
      <c r="D6" s="16" t="n">
        <v>19</v>
      </c>
      <c r="E6" s="16">
        <f>SUMIF(Checklist!$B$7:$B$58,'Score Parameters'!B6,Checklist!$E$7:$E$58)</f>
        <v/>
      </c>
      <c r="F6" s="17">
        <f>IFERROR(E6/D6,"-")</f>
        <v/>
      </c>
      <c r="G6" s="3" t="n"/>
    </row>
    <row r="7">
      <c r="A7" s="18" t="n">
        <v>6</v>
      </c>
      <c r="B7" s="14" t="inlineStr">
        <is>
          <t>Infra and others</t>
        </is>
      </c>
      <c r="C7" s="15">
        <f>COUNTIF(Checklist!$B$7:$B$58,B7)</f>
        <v/>
      </c>
      <c r="D7" s="16" t="n">
        <v>4</v>
      </c>
      <c r="E7" s="16">
        <f>SUMIF(Checklist!$B$7:$B$58,'Score Parameters'!B7,Checklist!$E$7:$E$58)</f>
        <v/>
      </c>
      <c r="F7" s="17">
        <f>IFERROR(E7/D7,"-")</f>
        <v/>
      </c>
      <c r="G7" s="3" t="n"/>
    </row>
    <row r="8">
      <c r="A8" s="13" t="n">
        <v>7</v>
      </c>
      <c r="B8" s="14" t="inlineStr">
        <is>
          <t>Identity cards</t>
        </is>
      </c>
      <c r="C8" s="15">
        <f>COUNTIF(Checklist!$B$7:$B$58,B8)</f>
        <v/>
      </c>
      <c r="D8" s="16" t="n">
        <v>12</v>
      </c>
      <c r="E8" s="16">
        <f>SUMIF(Checklist!$B$7:$B$58,'Score Parameters'!B8,Checklist!$E$7:$E$58)</f>
        <v/>
      </c>
      <c r="F8" s="17">
        <f>IFERROR(E8/D8,"-")</f>
        <v/>
      </c>
      <c r="G8" s="3" t="n"/>
    </row>
    <row r="9">
      <c r="A9" s="13" t="n">
        <v>8</v>
      </c>
      <c r="B9" s="14" t="inlineStr">
        <is>
          <t>Record Management</t>
        </is>
      </c>
      <c r="C9" s="15">
        <f>COUNTIF(Checklist!$B$7:$B$58,B9)</f>
        <v/>
      </c>
      <c r="D9" s="16" t="n">
        <v>23</v>
      </c>
      <c r="E9" s="16">
        <f>SUMIF(Checklist!$B$7:$B$58,'Score Parameters'!B9,Checklist!$E$7:$E$58)</f>
        <v/>
      </c>
      <c r="F9" s="17">
        <f>IFERROR(E9/D9,"-")</f>
        <v/>
      </c>
      <c r="G9" s="3" t="n"/>
    </row>
    <row r="10">
      <c r="A10" s="13" t="n">
        <v>9</v>
      </c>
      <c r="B10" s="14" t="inlineStr">
        <is>
          <t>Settlement Compliance</t>
        </is>
      </c>
      <c r="C10" s="15">
        <f>COUNTIF(Checklist!$B$7:$B$58,B10)</f>
        <v/>
      </c>
      <c r="D10" s="16" t="n">
        <v>3</v>
      </c>
      <c r="E10" s="16">
        <f>SUMIF(Checklist!$B$7:$B$58,'Score Parameters'!B10,Checklist!$E$7:$E$58)</f>
        <v/>
      </c>
      <c r="F10" s="17">
        <f>IFERROR(E10/D10,"-")</f>
        <v/>
      </c>
      <c r="G10" s="3" t="n"/>
    </row>
    <row r="11">
      <c r="A11" s="18" t="n">
        <v>10</v>
      </c>
      <c r="B11" s="14" t="inlineStr">
        <is>
          <t>Miscellaneous</t>
        </is>
      </c>
      <c r="C11" s="15">
        <f>COUNTIF(Checklist!$B$7:$B$58,B11)</f>
        <v/>
      </c>
      <c r="D11" s="16" t="n">
        <v>0</v>
      </c>
      <c r="E11" s="16">
        <f>SUMIF(Checklist!$B$7:$B$58,'Score Parameters'!B11,Checklist!$E$7:$E$58)</f>
        <v/>
      </c>
      <c r="F11" s="17">
        <f>IFERROR(E11/D11,"-")</f>
        <v/>
      </c>
      <c r="G11" s="3" t="n"/>
    </row>
    <row r="12">
      <c r="A12" s="19" t="n"/>
      <c r="B12" s="1" t="inlineStr">
        <is>
          <t>Total</t>
        </is>
      </c>
      <c r="C12" s="1">
        <f>SUM(C2:C11)</f>
        <v/>
      </c>
      <c r="D12" s="1">
        <f>SUM(D2:D11)</f>
        <v/>
      </c>
      <c r="E12" s="1">
        <f>SUM(E2:E11)</f>
        <v/>
      </c>
      <c r="F12" s="20">
        <f>E12/D12</f>
        <v/>
      </c>
    </row>
    <row r="13">
      <c r="A13" s="1" t="inlineStr">
        <is>
          <t>FINAL RATING</t>
        </is>
      </c>
      <c r="B13" s="46" t="n"/>
      <c r="C13" s="46" t="n"/>
      <c r="D13" s="46" t="n"/>
      <c r="E13" s="47" t="n"/>
      <c r="F13" s="1">
        <f t="array" ref="F13">_xlfn.IFS(F12&gt;=80%,B16,F12&gt;=70%,B17,F12&gt;=60%,B18,F12&gt;=50%,B19,F12&lt;=49%,B20)</f>
        <v/>
      </c>
    </row>
    <row r="14">
      <c r="A14" s="4" t="n"/>
      <c r="B14" s="4" t="n"/>
      <c r="C14" s="4" t="n"/>
      <c r="D14" s="5" t="n"/>
      <c r="E14" s="4" t="n"/>
      <c r="F14" s="4" t="n"/>
    </row>
    <row r="15" hidden="1" ht="12" customHeight="1">
      <c r="A15" s="4" t="n"/>
      <c r="B15" s="6" t="inlineStr">
        <is>
          <t>Rating</t>
        </is>
      </c>
      <c r="C15" s="6" t="inlineStr">
        <is>
          <t>Scoring Segmentation</t>
        </is>
      </c>
      <c r="D15" s="5" t="n"/>
      <c r="E15" s="4" t="n"/>
      <c r="F15" s="4" t="n"/>
    </row>
    <row r="16" hidden="1" ht="12" customHeight="1">
      <c r="A16" s="4" t="n"/>
      <c r="B16" s="7" t="inlineStr">
        <is>
          <t>A</t>
        </is>
      </c>
      <c r="C16" s="8" t="inlineStr">
        <is>
          <t>&gt;=80</t>
        </is>
      </c>
      <c r="D16" s="5" t="n"/>
      <c r="E16" s="4" t="n"/>
      <c r="F16" s="4" t="n"/>
    </row>
    <row r="17" hidden="1" ht="12" customHeight="1">
      <c r="A17" s="4" t="n"/>
      <c r="B17" s="9" t="inlineStr">
        <is>
          <t>B</t>
        </is>
      </c>
      <c r="C17" s="8" t="inlineStr">
        <is>
          <t>&gt;=70 and &lt;=79</t>
        </is>
      </c>
      <c r="D17" s="5" t="n"/>
      <c r="E17" s="4" t="n"/>
      <c r="F17" s="4" t="n"/>
    </row>
    <row r="18" hidden="1" ht="11.25" customHeight="1">
      <c r="A18" s="4" t="n"/>
      <c r="B18" s="10" t="inlineStr">
        <is>
          <t>C</t>
        </is>
      </c>
      <c r="C18" s="8" t="inlineStr">
        <is>
          <t>&gt;=60 and &lt;=69</t>
        </is>
      </c>
      <c r="D18" s="5" t="n"/>
      <c r="E18" s="4" t="n"/>
      <c r="F18" s="4" t="n"/>
    </row>
    <row r="19" hidden="1" ht="11.25" customHeight="1">
      <c r="A19" s="4" t="n"/>
      <c r="B19" s="11" t="inlineStr">
        <is>
          <t>D</t>
        </is>
      </c>
      <c r="C19" s="8" t="inlineStr">
        <is>
          <t>&gt;=50 and &lt;=59</t>
        </is>
      </c>
      <c r="D19" s="5" t="n"/>
      <c r="E19" s="4" t="n"/>
      <c r="F19" s="4" t="n"/>
    </row>
    <row r="20" hidden="1" ht="11.25" customHeight="1">
      <c r="A20" s="4" t="n"/>
      <c r="B20" s="12" t="inlineStr">
        <is>
          <t>E</t>
        </is>
      </c>
      <c r="C20" s="8" t="inlineStr">
        <is>
          <t>&lt;=49</t>
        </is>
      </c>
      <c r="D20" s="5" t="n"/>
      <c r="E20" s="4" t="n"/>
      <c r="F20" s="4" t="n"/>
    </row>
    <row r="21">
      <c r="A21" s="4" t="n"/>
      <c r="B21" s="4" t="n"/>
      <c r="C21" s="4" t="n"/>
      <c r="D21" s="5" t="n"/>
      <c r="E21" s="4" t="n"/>
      <c r="F21" s="4" t="n"/>
    </row>
  </sheetData>
  <mergeCells count="1">
    <mergeCell ref="A13:E13"/>
  </mergeCells>
  <conditionalFormatting sqref="B16:B20">
    <cfRule type="colorScale" priority="1">
      <colorScale>
        <cfvo type="min"/>
        <cfvo type="percentile" val="50"/>
        <cfvo type="max"/>
        <color rgb="FFF8696B"/>
        <color rgb="FFFFEB84"/>
        <color rgb="FF63BE7B"/>
      </colorScale>
    </cfRule>
  </conditionalFormatting>
  <conditionalFormatting sqref="F12">
    <cfRule type="cellIs" priority="2" operator="greaterThan" dxfId="2">
      <formula>0.8</formula>
    </cfRule>
    <cfRule type="cellIs" priority="3" operator="between" dxfId="1">
      <formula>0.6</formula>
      <formula>0.8</formula>
    </cfRule>
    <cfRule type="cellIs" priority="4" operator="between" dxfId="0">
      <formula>0</formula>
      <formula>0.5999</formula>
    </cfRule>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Himanshu16.Sharma@tatacapital.com</dc:creator>
  <dcterms:created xmlns:dcterms="http://purl.org/dc/terms/" xmlns:xsi="http://www.w3.org/2001/XMLSchema-instance" xsi:type="dcterms:W3CDTF">2023-04-03T05:27:31Z</dcterms:created>
  <dcterms:modified xmlns:dcterms="http://purl.org/dc/terms/" xmlns:xsi="http://www.w3.org/2001/XMLSchema-instance" xsi:type="dcterms:W3CDTF">2026-08-04T11:47:22Z</dcterms:modified>
  <cp:lastModifiedBy>Rachit Goyal</cp:lastModifiedBy>
  <cp:lastPrinted>2026-06-12T12:50:28Z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0x010100B89E9B38EF334341B754D8F8D6A719DA</vt:lpwstr>
  </property>
</Properties>
</file>