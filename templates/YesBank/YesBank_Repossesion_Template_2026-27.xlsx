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chit Goyal\Downloads\audit-report-generator\templates\YesBank\"/>
    </mc:Choice>
  </mc:AlternateContent>
  <xr:revisionPtr revIDLastSave="0" documentId="13_ncr:1_{82CF3791-C1AA-4FBB-B569-A773B7A58B24}" xr6:coauthVersionLast="47" xr6:coauthVersionMax="47" xr10:uidLastSave="{00000000-0000-0000-0000-000000000000}"/>
  <bookViews>
    <workbookView xWindow="-108" yWindow="-108" windowWidth="23256" windowHeight="12456" xr2:uid="{26FBB636-9C2E-4FAA-9547-F3807627EF54}"/>
  </bookViews>
  <sheets>
    <sheet name="Rating" sheetId="1" r:id="rId1"/>
    <sheet name="Agency" sheetId="2" r:id="rId2"/>
    <sheet name="KAF" sheetId="3" r:id="rId3"/>
  </sheets>
  <definedNames>
    <definedName name="_xlnm._FilterDatabase" localSheetId="1" hidden="1">Agency!$A$1:$O$36</definedName>
    <definedName name="_xlnm._FilterDatabase" localSheetId="2" hidden="1">KAF!$A$1:$AB$2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2" l="1"/>
  <c r="J33" i="2"/>
  <c r="J32" i="2"/>
  <c r="J31" i="2"/>
  <c r="J30" i="2"/>
  <c r="J29" i="2"/>
  <c r="J28" i="2"/>
  <c r="J27" i="2"/>
  <c r="J25" i="2"/>
  <c r="J24" i="2"/>
  <c r="J23" i="2"/>
  <c r="J22" i="2"/>
  <c r="J21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19" i="1"/>
  <c r="J26" i="2" l="1"/>
  <c r="C17" i="1" s="1"/>
  <c r="E17" i="1" s="1"/>
  <c r="J20" i="2"/>
  <c r="C16" i="1" s="1"/>
  <c r="E16" i="1" s="1"/>
  <c r="J36" i="2"/>
  <c r="C18" i="1" s="1"/>
  <c r="E18" i="1" s="1"/>
  <c r="C19" i="1" l="1"/>
  <c r="E19" i="1" s="1"/>
  <c r="F19" i="1" s="1"/>
  <c r="C20" i="1" s="1"/>
</calcChain>
</file>

<file path=xl/sharedStrings.xml><?xml version="1.0" encoding="utf-8"?>
<sst xmlns="http://schemas.openxmlformats.org/spreadsheetml/2006/main" count="398" uniqueCount="192">
  <si>
    <t>YES Bank Repo Agency Audit</t>
  </si>
  <si>
    <t>Version</t>
  </si>
  <si>
    <t>Ver.2</t>
  </si>
  <si>
    <t>Agency Name</t>
  </si>
  <si>
    <t>Agency Location</t>
  </si>
  <si>
    <t>Agency Address</t>
  </si>
  <si>
    <t>Audit Date</t>
  </si>
  <si>
    <t>Audit Period</t>
  </si>
  <si>
    <t>Audit Firm Name</t>
  </si>
  <si>
    <t>CM Name</t>
  </si>
  <si>
    <t>CCL Name</t>
  </si>
  <si>
    <t>Auditor Name/Contact#</t>
  </si>
  <si>
    <t>CM Employee ID</t>
  </si>
  <si>
    <t>CCL Employee ID</t>
  </si>
  <si>
    <t>Products for which agency does 
collections</t>
  </si>
  <si>
    <t>Agency person with whom the discussion were held</t>
  </si>
  <si>
    <t>Agency Audit Score</t>
  </si>
  <si>
    <t xml:space="preserve">Final Audit Score </t>
  </si>
  <si>
    <t>Actual</t>
  </si>
  <si>
    <t>Weightage</t>
  </si>
  <si>
    <t>Percantage</t>
  </si>
  <si>
    <t>Grade</t>
  </si>
  <si>
    <t>Agreement,Blue book and ID Card</t>
  </si>
  <si>
    <t>Possession &amp; repokit</t>
  </si>
  <si>
    <t>Infrastructure &amp; Other</t>
  </si>
  <si>
    <t>Total Score</t>
  </si>
  <si>
    <t>Final Rating on Agency Audit</t>
  </si>
  <si>
    <t>Scoring and Grade Matrix</t>
  </si>
  <si>
    <t>Score</t>
  </si>
  <si>
    <t>Performance</t>
  </si>
  <si>
    <t>A+</t>
  </si>
  <si>
    <t>Excellent</t>
  </si>
  <si>
    <t>90-99</t>
  </si>
  <si>
    <t>A</t>
  </si>
  <si>
    <t>Very Good</t>
  </si>
  <si>
    <t>80-89</t>
  </si>
  <si>
    <t>B+</t>
  </si>
  <si>
    <t>Good</t>
  </si>
  <si>
    <t>70-79</t>
  </si>
  <si>
    <t>B</t>
  </si>
  <si>
    <t>Satisfactory</t>
  </si>
  <si>
    <t>60-69</t>
  </si>
  <si>
    <t>C+</t>
  </si>
  <si>
    <t>Unsatisfactory</t>
  </si>
  <si>
    <t>59 and Below</t>
  </si>
  <si>
    <t>C</t>
  </si>
  <si>
    <t>Poor</t>
  </si>
  <si>
    <t>Sr. No.</t>
  </si>
  <si>
    <t>Main  Category</t>
  </si>
  <si>
    <t>Check points Category</t>
  </si>
  <si>
    <t>Risk Level</t>
  </si>
  <si>
    <t>Details to be checked</t>
  </si>
  <si>
    <t>Points to be checked</t>
  </si>
  <si>
    <t>Scoring Parameter</t>
  </si>
  <si>
    <t>Complied (Yes/No)</t>
  </si>
  <si>
    <t>No. of Errors</t>
  </si>
  <si>
    <t>Clarification</t>
  </si>
  <si>
    <t>Observations</t>
  </si>
  <si>
    <t>Revert from CM</t>
  </si>
  <si>
    <t>Revert from Auditor</t>
  </si>
  <si>
    <t>Annx. if any</t>
  </si>
  <si>
    <t>Agreement Copy</t>
  </si>
  <si>
    <t>Agreement &amp; rate annexure</t>
  </si>
  <si>
    <t>High</t>
  </si>
  <si>
    <t>Whether the vendor agreement and the latest rate annexures maintained at the agency?
Whether the Code of Conduct poster is displayed at the agency?</t>
  </si>
  <si>
    <t>1) Agreement has to be signed by both the parties i.e Bank and Agency.</t>
  </si>
  <si>
    <t>Done :10 else : 0</t>
  </si>
  <si>
    <t>Yes</t>
  </si>
  <si>
    <t>NA</t>
  </si>
  <si>
    <t>2) If supplementary agreement the scope of work for Retails Collections needs to there.</t>
  </si>
  <si>
    <t>3) Latest rate annexure</t>
  </si>
  <si>
    <t>4) COC should be signed and displayed.</t>
  </si>
  <si>
    <t>Blue Book</t>
  </si>
  <si>
    <t>Hygiene</t>
  </si>
  <si>
    <t>Medium</t>
  </si>
  <si>
    <t xml:space="preserve">Whether blue book formats are filled completely &amp; correctly by the agencies .
</t>
  </si>
  <si>
    <t>1) Code of Conduct page should be signed by agency's owner.</t>
  </si>
  <si>
    <t>Done: 10 else 2 for each such case</t>
  </si>
  <si>
    <t>2) Declaration cum undertaking page owners/CP signature should be filled up in blue book.</t>
  </si>
  <si>
    <t>3)Data purging declaration should be filled up completely in blue book.</t>
  </si>
  <si>
    <t>4)Computer Declaration in Infrastructure  details should be filled properly.</t>
  </si>
  <si>
    <t>5)Telephone Declaration in Infrastructure  details should be filled up properly.</t>
  </si>
  <si>
    <t>6) Agency manpower register should be filled up properly and completely and ID card details should be matched with bank record.</t>
  </si>
  <si>
    <t>7) Receipt book issuance register should be filled up properly and completely and should be matched with bank record.</t>
  </si>
  <si>
    <t>8) Agency training tracker should be filled up by CP/RCM if training has been provided.</t>
  </si>
  <si>
    <t>9) Billing tracker should be filled up completely in Blue book.</t>
  </si>
  <si>
    <t>10) Repokit tracker should be filled up and matched with bank record applicable only for repo agency.</t>
  </si>
  <si>
    <t xml:space="preserve">Visitor Register </t>
  </si>
  <si>
    <t>Low</t>
  </si>
  <si>
    <t>Whether agency maintains visitor register in blue book at their office ? Also, check if Collection Partner (CP) / Regional Collection Manager (RCM) visiting the agency signs the visiting register maintained at the agency?</t>
  </si>
  <si>
    <t>1) Copy of visitor register needs to be  taken during audit.</t>
  </si>
  <si>
    <t>Done :10 else 0</t>
  </si>
  <si>
    <t>Agency mark will not be impacted in case CP /SL has not visited agency.</t>
  </si>
  <si>
    <t>Physical Register</t>
  </si>
  <si>
    <t>Repokit</t>
  </si>
  <si>
    <t>Whether Repokit register is being maintained in blue book?</t>
  </si>
  <si>
    <t>1) Please cross tally repokits detailed mentioned in register maintained at agency with Central Team data</t>
  </si>
  <si>
    <t>Done: 10 else : -5 for each such case</t>
  </si>
  <si>
    <t>Id Card</t>
  </si>
  <si>
    <t>RCU/DRA/ID card</t>
  </si>
  <si>
    <t>Whether all Executive of agencies who are involved in reposession of YBL's Vehicle  are DRA trained  and have digital ID Card issued by YBL?</t>
  </si>
  <si>
    <t>1)ID card need to be generated live during audit visit and also take screenshots of all ID card isssued by bank.</t>
  </si>
  <si>
    <t>Done: 10 else -5 for each such case</t>
  </si>
  <si>
    <t xml:space="preserve"> </t>
  </si>
  <si>
    <t>Resignation</t>
  </si>
  <si>
    <t>Whether all ID cards where executives have been resigned/terminated are submitted to CP/Central Processing Team and same has been updated in ID card tracker of bluebook or not?</t>
  </si>
  <si>
    <t>Sub-Total</t>
  </si>
  <si>
    <t>(a) Have all possessions been done through a valid repokit .</t>
  </si>
  <si>
    <t>Please check repokit validity and reposession date.</t>
  </si>
  <si>
    <t>Done : 10 else : 0</t>
  </si>
  <si>
    <r>
      <t xml:space="preserve">Possession through expired repo kit- deviation approval require from CH.To check whether the blank repokits received from Central Team are filled up correctly.
</t>
    </r>
    <r>
      <rPr>
        <u/>
        <sz val="9"/>
        <rFont val="Arial"/>
        <family val="2"/>
      </rPr>
      <t/>
    </r>
  </si>
  <si>
    <t>Whether copy of repo kit &amp; Copy of Inventory sheet is maintained at the agency?
Whether all the relevant details are filled in the repo kit?</t>
  </si>
  <si>
    <t>Post possession</t>
  </si>
  <si>
    <t>Whether possessed vehicles are deposited by the agency in authorised godown within 24 hours in all cases.</t>
  </si>
  <si>
    <t>Done : 10 else : reduce 2 for each error</t>
  </si>
  <si>
    <t>Whether possession kit along with all the documents are dispatched to Central team within 1 day of taking possession of the asset ?</t>
  </si>
  <si>
    <t>Lost / Theft repokit</t>
  </si>
  <si>
    <t>Whether FIR, indemnity bond on stamp paper &amp; Newspaper cut-out of published Notice for Loss / theft of repo kit is submitted by Agency / CP as per format in case of lost/stolen repokit &amp; updated in repokit tracker ?</t>
  </si>
  <si>
    <t>Done : 10 else : -10</t>
  </si>
  <si>
    <t>All repokit lost process should be completed within 4 days of the lost / theft</t>
  </si>
  <si>
    <t>our bank's reference made on co's name board</t>
  </si>
  <si>
    <t>Has the agency made any reference to our Bank's name on the company's name board.?</t>
  </si>
  <si>
    <t>Pls also check whether the Infrastructure like PC / Laptop, document storage, FOS etc. are used exclusively for our Bank &amp; not mixed with others.</t>
  </si>
  <si>
    <t>Conflict of interest godown/repossession agency</t>
  </si>
  <si>
    <t xml:space="preserve">Whether the agency comply with the guidelines on working in any other capacity with our Bank? </t>
  </si>
  <si>
    <t>Pls check the point with reference to product &amp; location 
i.e. Collection agency can't be FI agency/godown agency for same product &amp; at same location. Repo agency can not be a Yard agency.</t>
  </si>
  <si>
    <t>Agency establishment</t>
  </si>
  <si>
    <t>Whether agencies have shop establishment certificate ?</t>
  </si>
  <si>
    <t>Agency details update in ERP</t>
  </si>
  <si>
    <t>Whether agency's address &amp; phone number are correctly updated on YES BANK website.Www.yesbank.in/regulatory_policies</t>
  </si>
  <si>
    <t xml:space="preserve">Bill </t>
  </si>
  <si>
    <t>Whether Copy of Monthly bill is available at agency? Is There Any Pending Bill ? (If Yes Mention Details).Billing to be checked as per pickup and collection agency payment Grid</t>
  </si>
  <si>
    <t>As per the Grid pickup and collection agency needs to be paid separately</t>
  </si>
  <si>
    <t>No Dues Certificate related</t>
  </si>
  <si>
    <t>Whether copy of NDC for previous quarter is provided by the agency for previous bills that have been paid?&amp; Copy of NDC is maintained at the agency?</t>
  </si>
  <si>
    <t>As per process agency is required to give "No due certificate" for payout given to agency.</t>
  </si>
  <si>
    <t>Not cooperated with Auditor</t>
  </si>
  <si>
    <t>Whether full cooperation/complete &amp; timely data was received from agency for completing audit?</t>
  </si>
  <si>
    <t>As per audit observation</t>
  </si>
  <si>
    <t>Pls impact score if the agency pre-scheduled  &amp; intimated is cancelled on the day / a day before visit.</t>
  </si>
  <si>
    <t>Non compliance of last month's audit observation.</t>
  </si>
  <si>
    <t>Whether non-compliance reported in the previous period adhered to?</t>
  </si>
  <si>
    <t>Done: 10 else -2 for each such case</t>
  </si>
  <si>
    <t>Additional point</t>
  </si>
  <si>
    <t>Any other comment which Auditor wants to give</t>
  </si>
  <si>
    <t>Main Category</t>
  </si>
  <si>
    <t>Check Points Category</t>
  </si>
  <si>
    <t>Zone</t>
  </si>
  <si>
    <t>State</t>
  </si>
  <si>
    <t>Location</t>
  </si>
  <si>
    <t>Employee ID</t>
  </si>
  <si>
    <t>Sub Remarks</t>
  </si>
  <si>
    <t>Loan Account No.</t>
  </si>
  <si>
    <t>Customer Name</t>
  </si>
  <si>
    <t>Vendor Name</t>
  </si>
  <si>
    <t>Executive Name</t>
  </si>
  <si>
    <t>ID Card No.</t>
  </si>
  <si>
    <t>Repo-Kit No.</t>
  </si>
  <si>
    <t>Repo Date</t>
  </si>
  <si>
    <t>Godown Name</t>
  </si>
  <si>
    <t>Godown Location</t>
  </si>
  <si>
    <t>Sale / Release Date</t>
  </si>
  <si>
    <t>Sale / Release Amount</t>
  </si>
  <si>
    <t>Category Of Mismatch</t>
  </si>
  <si>
    <t>Mismatch Details</t>
  </si>
  <si>
    <t>Repokit Return Date</t>
  </si>
  <si>
    <t>Valuation Dt -Valuation Report</t>
  </si>
  <si>
    <t>Valuation Date-Yards Register</t>
  </si>
  <si>
    <t>Type Of Executive</t>
  </si>
  <si>
    <t>Rcu Positive (Yes/No)</t>
  </si>
  <si>
    <t>Dra Trained (Yes/No/Na)</t>
  </si>
  <si>
    <t>Blue book formats are filled completely/correctly by the agency</t>
  </si>
  <si>
    <t>NA as no Such case was observed for the audit period</t>
  </si>
  <si>
    <t>Yes, the same has been compiled by the agency as per Bank Process</t>
  </si>
  <si>
    <t>Yes, agency's address &amp; phone number are correctly updated on Yes Bank web site</t>
  </si>
  <si>
    <t>Yes, Copy of Monthly bill is available at agency</t>
  </si>
  <si>
    <t>Yes, Full cooperation/complete &amp; timely data was received from agency for completing the audit</t>
  </si>
  <si>
    <t>Yes, non-compliance reported in the previous period are rectified and not observed for the current audit period</t>
  </si>
  <si>
    <t>No comment, No Additional case/observation was observed for the audit period</t>
  </si>
  <si>
    <t>Yes, Compete vendor agreement is maintained at the agency</t>
  </si>
  <si>
    <t>Yes, Compete agreement is maintained at the agency</t>
  </si>
  <si>
    <t>Yes, latest rate annexures maintained at the agency</t>
  </si>
  <si>
    <t>Yes, Code of Conduct poster is displayed at the agency</t>
  </si>
  <si>
    <t>Yes the same has been complied by the agency</t>
  </si>
  <si>
    <t>Yes all possession have been done throught a valid repokit</t>
  </si>
  <si>
    <t>Yes complete and correct repokit are maintain by the agency</t>
  </si>
  <si>
    <t>Yes, copy of NDC for previous quarter is provided by the agency</t>
  </si>
  <si>
    <t>Yes, shop establishment certificate is availablw with aagency</t>
  </si>
  <si>
    <t>NA, as agency is engaged with Repossession activity only</t>
  </si>
  <si>
    <t>Repossesion</t>
  </si>
  <si>
    <t>Kumar Gaurav Agarwal &amp; Company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</si>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</sst>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-F800]dddd\,\ mmmm\ dd\,\ yyyy"/>
    <numFmt numFmtId="166" formatCode="0\ ;[Red]\(0\)"/>
    <numFmt numFmtId="167" formatCode="0_);[Red]\(0\)"/>
  </numFmts>
  <fonts count="23" x14ac:knownFonts="1">
    <font>
      <sz val="11"/>
      <color theme="1"/>
      <name val="Cambria"/>
      <family val="2"/>
    </font>
    <font>
      <sz val="10"/>
      <name val="Arial"/>
      <family val="2"/>
    </font>
    <font>
      <b/>
      <sz val="10"/>
      <color indexed="9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1"/>
      <color indexed="17"/>
      <name val="Calibri"/>
      <family val="2"/>
    </font>
    <font>
      <sz val="10"/>
      <color indexed="17"/>
      <name val="Book Antiqua"/>
      <family val="1"/>
    </font>
    <font>
      <sz val="10"/>
      <color indexed="8"/>
      <name val="Book Antiqua"/>
      <family val="1"/>
    </font>
    <font>
      <b/>
      <u/>
      <sz val="10"/>
      <name val="Book Antiqua"/>
      <family val="1"/>
    </font>
    <font>
      <b/>
      <sz val="10"/>
      <color rgb="FF00B050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9"/>
      <color indexed="9"/>
      <name val="Book Antiqua"/>
      <family val="1"/>
    </font>
    <font>
      <b/>
      <sz val="9"/>
      <name val="Book Antiqua"/>
      <family val="1"/>
    </font>
    <font>
      <b/>
      <sz val="9"/>
      <color theme="1"/>
      <name val="Book Antiqua"/>
      <family val="1"/>
    </font>
    <font>
      <sz val="9"/>
      <name val="Book Antiqua"/>
      <family val="1"/>
    </font>
    <font>
      <sz val="11"/>
      <color theme="1"/>
      <name val="Aptos Narrow"/>
      <family val="2"/>
      <scheme val="minor"/>
    </font>
    <font>
      <u/>
      <sz val="9"/>
      <name val="Book Antiqua"/>
      <family val="1"/>
    </font>
    <font>
      <sz val="9"/>
      <color theme="1"/>
      <name val="Book Antiqua"/>
      <family val="1"/>
    </font>
    <font>
      <b/>
      <u/>
      <sz val="9"/>
      <name val="Book Antiqua"/>
      <family val="1"/>
    </font>
    <font>
      <b/>
      <sz val="9"/>
      <color theme="2"/>
      <name val="Book Antiqua"/>
      <family val="1"/>
    </font>
    <font>
      <sz val="9"/>
      <color theme="2"/>
      <name val="Book Antiqua"/>
      <family val="1"/>
    </font>
    <font>
      <u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155"/>
        <bgColor indexed="31"/>
      </patternFill>
    </fill>
    <fill>
      <patternFill patternType="solid">
        <fgColor indexed="42"/>
      </patternFill>
    </fill>
    <fill>
      <patternFill patternType="solid">
        <fgColor rgb="FF0031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5" fillId="3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</cellStyleXfs>
  <cellXfs count="143">
    <xf numFmtId="0" fontId="0" fillId="0" borderId="0" xfId="0"/>
    <xf numFmtId="0" fontId="3" fillId="0" borderId="0" xfId="1" applyFont="1"/>
    <xf numFmtId="0" fontId="4" fillId="0" borderId="0" xfId="1" applyFont="1"/>
    <xf numFmtId="0" fontId="2" fillId="2" borderId="4" xfId="1" applyFont="1" applyFill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6" fillId="0" borderId="0" xfId="2" applyFont="1" applyFill="1" applyBorder="1" applyAlignment="1" applyProtection="1">
      <alignment horizontal="left" wrapText="1"/>
    </xf>
    <xf numFmtId="0" fontId="4" fillId="0" borderId="0" xfId="1" applyFont="1" applyAlignment="1">
      <alignment vertical="center"/>
    </xf>
    <xf numFmtId="0" fontId="2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" fillId="2" borderId="7" xfId="1" applyFont="1" applyFill="1" applyBorder="1" applyAlignment="1">
      <alignment horizontal="left" vertical="center" wrapText="1"/>
    </xf>
    <xf numFmtId="0" fontId="7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7" fillId="0" borderId="0" xfId="1" applyFont="1"/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wrapText="1"/>
    </xf>
    <xf numFmtId="2" fontId="3" fillId="0" borderId="0" xfId="3" applyNumberFormat="1" applyFont="1" applyFill="1" applyBorder="1" applyAlignment="1" applyProtection="1">
      <alignment horizontal="center" vertical="top"/>
    </xf>
    <xf numFmtId="0" fontId="9" fillId="0" borderId="0" xfId="1" applyFont="1" applyAlignment="1">
      <alignment horizontal="center" vertical="center"/>
    </xf>
    <xf numFmtId="0" fontId="2" fillId="2" borderId="8" xfId="1" applyFont="1" applyFill="1" applyBorder="1" applyAlignment="1">
      <alignment horizontal="left" vertical="center"/>
    </xf>
    <xf numFmtId="1" fontId="10" fillId="0" borderId="8" xfId="4" applyNumberFormat="1" applyFont="1" applyBorder="1" applyAlignment="1">
      <alignment horizontal="center" vertical="center"/>
    </xf>
    <xf numFmtId="9" fontId="3" fillId="0" borderId="8" xfId="3" applyFont="1" applyBorder="1" applyAlignment="1">
      <alignment horizontal="center"/>
    </xf>
    <xf numFmtId="0" fontId="11" fillId="0" borderId="8" xfId="1" applyFont="1" applyBorder="1"/>
    <xf numFmtId="0" fontId="2" fillId="2" borderId="8" xfId="1" applyFont="1" applyFill="1" applyBorder="1" applyAlignment="1">
      <alignment horizontal="center" vertical="center"/>
    </xf>
    <xf numFmtId="9" fontId="2" fillId="2" borderId="8" xfId="3" applyFont="1" applyFill="1" applyBorder="1" applyAlignment="1" applyProtection="1">
      <alignment horizontal="center" vertical="center"/>
    </xf>
    <xf numFmtId="0" fontId="8" fillId="0" borderId="0" xfId="1" applyFont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left" vertical="center" wrapText="1"/>
    </xf>
    <xf numFmtId="0" fontId="12" fillId="4" borderId="10" xfId="1" applyFont="1" applyFill="1" applyBorder="1" applyAlignment="1">
      <alignment horizontal="left" vertical="center"/>
    </xf>
    <xf numFmtId="0" fontId="12" fillId="4" borderId="10" xfId="5" applyFont="1" applyFill="1" applyBorder="1" applyAlignment="1" applyProtection="1">
      <alignment horizontal="left" vertical="center" wrapText="1"/>
      <protection locked="0"/>
    </xf>
    <xf numFmtId="0" fontId="12" fillId="4" borderId="10" xfId="5" applyFont="1" applyFill="1" applyBorder="1" applyAlignment="1" applyProtection="1">
      <alignment horizontal="left" vertical="center"/>
      <protection locked="0"/>
    </xf>
    <xf numFmtId="0" fontId="12" fillId="4" borderId="11" xfId="5" applyFont="1" applyFill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 wrapText="1"/>
    </xf>
    <xf numFmtId="0" fontId="15" fillId="0" borderId="8" xfId="1" applyFont="1" applyBorder="1" applyAlignment="1">
      <alignment horizontal="left" vertical="top" wrapText="1"/>
    </xf>
    <xf numFmtId="0" fontId="17" fillId="0" borderId="8" xfId="1" applyFont="1" applyBorder="1" applyAlignment="1">
      <alignment horizontal="left" vertical="top" wrapText="1"/>
    </xf>
    <xf numFmtId="0" fontId="15" fillId="6" borderId="8" xfId="0" applyFont="1" applyFill="1" applyBorder="1" applyAlignment="1">
      <alignment vertical="top" wrapText="1"/>
    </xf>
    <xf numFmtId="0" fontId="15" fillId="6" borderId="8" xfId="1" applyFont="1" applyFill="1" applyBorder="1" applyAlignment="1">
      <alignment horizontal="left" vertical="top" wrapText="1"/>
    </xf>
    <xf numFmtId="0" fontId="15" fillId="6" borderId="1" xfId="1" applyFont="1" applyFill="1" applyBorder="1" applyAlignment="1">
      <alignment horizontal="left" vertical="top" wrapText="1"/>
    </xf>
    <xf numFmtId="0" fontId="15" fillId="0" borderId="13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0" fontId="15" fillId="0" borderId="8" xfId="1" applyFont="1" applyBorder="1" applyAlignment="1" applyProtection="1">
      <alignment horizontal="left" vertical="top" wrapText="1"/>
      <protection locked="0"/>
    </xf>
    <xf numFmtId="0" fontId="19" fillId="0" borderId="8" xfId="1" applyFont="1" applyBorder="1" applyAlignment="1">
      <alignment horizontal="left" vertical="top" wrapText="1"/>
    </xf>
    <xf numFmtId="0" fontId="15" fillId="6" borderId="8" xfId="0" applyFont="1" applyFill="1" applyBorder="1" applyAlignment="1">
      <alignment horizontal="left" vertical="top" wrapText="1"/>
    </xf>
    <xf numFmtId="0" fontId="18" fillId="0" borderId="8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0" fontId="18" fillId="0" borderId="13" xfId="1" applyFont="1" applyBorder="1" applyAlignment="1">
      <alignment horizontal="left" vertical="top" wrapText="1"/>
    </xf>
    <xf numFmtId="14" fontId="18" fillId="0" borderId="8" xfId="0" applyNumberFormat="1" applyFont="1" applyBorder="1" applyAlignment="1">
      <alignment horizontal="left" vertical="top" wrapText="1"/>
    </xf>
    <xf numFmtId="0" fontId="20" fillId="4" borderId="8" xfId="1" applyFont="1" applyFill="1" applyBorder="1" applyAlignment="1">
      <alignment horizontal="left" vertical="top" wrapText="1"/>
    </xf>
    <xf numFmtId="0" fontId="21" fillId="4" borderId="8" xfId="1" applyFont="1" applyFill="1" applyBorder="1" applyAlignment="1">
      <alignment horizontal="left" vertical="top" wrapText="1"/>
    </xf>
    <xf numFmtId="0" fontId="20" fillId="4" borderId="1" xfId="1" applyFont="1" applyFill="1" applyBorder="1" applyAlignment="1">
      <alignment horizontal="left" vertical="top" wrapText="1"/>
    </xf>
    <xf numFmtId="0" fontId="20" fillId="4" borderId="13" xfId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18" fillId="6" borderId="8" xfId="1" applyFont="1" applyFill="1" applyBorder="1" applyAlignment="1">
      <alignment horizontal="left" vertical="top" wrapText="1"/>
    </xf>
    <xf numFmtId="0" fontId="18" fillId="6" borderId="1" xfId="1" applyFont="1" applyFill="1" applyBorder="1" applyAlignment="1">
      <alignment horizontal="left" vertical="top" wrapText="1"/>
    </xf>
    <xf numFmtId="0" fontId="20" fillId="4" borderId="8" xfId="1" applyFont="1" applyFill="1" applyBorder="1" applyAlignment="1" applyProtection="1">
      <alignment horizontal="left" vertical="top" wrapText="1"/>
      <protection locked="0"/>
    </xf>
    <xf numFmtId="0" fontId="21" fillId="4" borderId="8" xfId="1" applyFont="1" applyFill="1" applyBorder="1" applyAlignment="1" applyProtection="1">
      <alignment horizontal="left" vertical="top" wrapText="1"/>
      <protection locked="0"/>
    </xf>
    <xf numFmtId="0" fontId="20" fillId="4" borderId="1" xfId="1" applyFont="1" applyFill="1" applyBorder="1" applyAlignment="1" applyProtection="1">
      <alignment horizontal="left" vertical="top" wrapText="1"/>
      <protection locked="0"/>
    </xf>
    <xf numFmtId="0" fontId="18" fillId="0" borderId="8" xfId="1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0" fontId="18" fillId="0" borderId="8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20" fillId="4" borderId="15" xfId="1" applyFont="1" applyFill="1" applyBorder="1" applyAlignment="1">
      <alignment horizontal="left" vertical="top" wrapText="1"/>
    </xf>
    <xf numFmtId="0" fontId="20" fillId="4" borderId="15" xfId="1" applyFont="1" applyFill="1" applyBorder="1" applyAlignment="1" applyProtection="1">
      <alignment horizontal="left" vertical="top"/>
      <protection locked="0"/>
    </xf>
    <xf numFmtId="0" fontId="20" fillId="4" borderId="15" xfId="1" applyFont="1" applyFill="1" applyBorder="1" applyAlignment="1" applyProtection="1">
      <alignment horizontal="left" vertical="top" wrapText="1"/>
      <protection locked="0"/>
    </xf>
    <xf numFmtId="0" fontId="20" fillId="4" borderId="16" xfId="1" applyFont="1" applyFill="1" applyBorder="1" applyAlignment="1">
      <alignment horizontal="left" vertical="top" wrapText="1"/>
    </xf>
    <xf numFmtId="0" fontId="20" fillId="4" borderId="17" xfId="1" applyFont="1" applyFill="1" applyBorder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4" fillId="0" borderId="0" xfId="10" applyFont="1" applyAlignment="1">
      <alignment horizontal="left" vertical="top" wrapText="1"/>
    </xf>
    <xf numFmtId="0" fontId="13" fillId="0" borderId="12" xfId="1" applyFont="1" applyBorder="1" applyAlignment="1">
      <alignment horizontal="center" vertical="center" wrapText="1"/>
    </xf>
    <xf numFmtId="0" fontId="20" fillId="4" borderId="12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20" fillId="4" borderId="14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5" fillId="5" borderId="8" xfId="6" applyFont="1" applyFill="1" applyBorder="1" applyAlignment="1">
      <alignment horizontal="left" vertical="center" wrapText="1"/>
    </xf>
    <xf numFmtId="49" fontId="15" fillId="0" borderId="8" xfId="1" applyNumberFormat="1" applyFont="1" applyBorder="1" applyAlignment="1">
      <alignment horizontal="left" vertical="center" wrapText="1"/>
    </xf>
    <xf numFmtId="0" fontId="15" fillId="0" borderId="8" xfId="1" applyFont="1" applyBorder="1" applyAlignment="1" applyProtection="1">
      <alignment horizontal="left" vertical="center"/>
      <protection locked="0"/>
    </xf>
    <xf numFmtId="166" fontId="15" fillId="0" borderId="8" xfId="1" applyNumberFormat="1" applyFont="1" applyBorder="1" applyAlignment="1" applyProtection="1">
      <alignment horizontal="left" vertical="center" wrapText="1"/>
      <protection locked="0"/>
    </xf>
    <xf numFmtId="0" fontId="14" fillId="0" borderId="8" xfId="1" applyFont="1" applyBorder="1" applyAlignment="1">
      <alignment horizontal="left" vertical="center" wrapText="1"/>
    </xf>
    <xf numFmtId="0" fontId="18" fillId="5" borderId="8" xfId="6" applyFont="1" applyFill="1" applyBorder="1" applyAlignment="1">
      <alignment horizontal="left" vertical="center" wrapText="1"/>
    </xf>
    <xf numFmtId="0" fontId="15" fillId="0" borderId="8" xfId="1" applyFont="1" applyBorder="1" applyAlignment="1" applyProtection="1">
      <alignment horizontal="left" vertical="center" wrapText="1"/>
      <protection locked="0"/>
    </xf>
    <xf numFmtId="0" fontId="18" fillId="0" borderId="8" xfId="6" applyFont="1" applyBorder="1" applyAlignment="1">
      <alignment horizontal="left" vertical="center" wrapText="1"/>
    </xf>
    <xf numFmtId="0" fontId="13" fillId="0" borderId="8" xfId="1" applyFont="1" applyBorder="1" applyAlignment="1">
      <alignment horizontal="left" vertical="center" wrapText="1"/>
    </xf>
    <xf numFmtId="49" fontId="15" fillId="0" borderId="8" xfId="1" applyNumberFormat="1" applyFont="1" applyBorder="1" applyAlignment="1" applyProtection="1">
      <alignment horizontal="left" vertical="center" wrapText="1"/>
      <protection locked="0"/>
    </xf>
    <xf numFmtId="0" fontId="18" fillId="0" borderId="8" xfId="1" applyFont="1" applyBorder="1" applyAlignment="1">
      <alignment horizontal="left" vertical="center" wrapText="1"/>
    </xf>
    <xf numFmtId="49" fontId="18" fillId="0" borderId="8" xfId="1" applyNumberFormat="1" applyFont="1" applyBorder="1" applyAlignment="1">
      <alignment horizontal="left" vertical="center" wrapText="1"/>
    </xf>
    <xf numFmtId="166" fontId="18" fillId="0" borderId="8" xfId="1" applyNumberFormat="1" applyFont="1" applyBorder="1" applyAlignment="1" applyProtection="1">
      <alignment horizontal="left" vertical="center" wrapText="1"/>
      <protection locked="0"/>
    </xf>
    <xf numFmtId="0" fontId="20" fillId="4" borderId="8" xfId="1" applyFont="1" applyFill="1" applyBorder="1" applyAlignment="1">
      <alignment horizontal="left" vertical="center" wrapText="1"/>
    </xf>
    <xf numFmtId="166" fontId="20" fillId="4" borderId="8" xfId="1" applyNumberFormat="1" applyFont="1" applyFill="1" applyBorder="1" applyAlignment="1" applyProtection="1">
      <alignment horizontal="left" vertical="center" wrapText="1"/>
      <protection locked="0"/>
    </xf>
    <xf numFmtId="0" fontId="13" fillId="6" borderId="8" xfId="1" applyFont="1" applyFill="1" applyBorder="1" applyAlignment="1">
      <alignment horizontal="left" vertical="center" wrapText="1"/>
    </xf>
    <xf numFmtId="0" fontId="15" fillId="0" borderId="8" xfId="7" applyFont="1" applyFill="1" applyBorder="1" applyAlignment="1" applyProtection="1">
      <alignment horizontal="left" vertical="center" wrapText="1"/>
    </xf>
    <xf numFmtId="0" fontId="15" fillId="0" borderId="8" xfId="8" applyFont="1" applyBorder="1" applyAlignment="1" applyProtection="1">
      <alignment horizontal="left" vertical="center" wrapText="1"/>
      <protection locked="0"/>
    </xf>
    <xf numFmtId="0" fontId="15" fillId="0" borderId="8" xfId="9" applyFont="1" applyFill="1" applyBorder="1" applyAlignment="1" applyProtection="1">
      <alignment horizontal="left" vertical="center" wrapText="1"/>
    </xf>
    <xf numFmtId="0" fontId="20" fillId="4" borderId="8" xfId="1" applyFont="1" applyFill="1" applyBorder="1" applyAlignment="1" applyProtection="1">
      <alignment horizontal="left" vertical="center" wrapText="1"/>
      <protection locked="0"/>
    </xf>
    <xf numFmtId="49" fontId="20" fillId="4" borderId="8" xfId="1" applyNumberFormat="1" applyFont="1" applyFill="1" applyBorder="1" applyAlignment="1">
      <alignment horizontal="left" vertical="center" wrapText="1"/>
    </xf>
    <xf numFmtId="166" fontId="20" fillId="4" borderId="8" xfId="1" applyNumberFormat="1" applyFont="1" applyFill="1" applyBorder="1" applyAlignment="1" applyProtection="1">
      <alignment horizontal="left" vertical="center"/>
      <protection locked="0"/>
    </xf>
    <xf numFmtId="0" fontId="18" fillId="0" borderId="8" xfId="9" applyFont="1" applyFill="1" applyBorder="1" applyAlignment="1" applyProtection="1">
      <alignment horizontal="left" vertical="center" wrapText="1"/>
    </xf>
    <xf numFmtId="0" fontId="18" fillId="0" borderId="8" xfId="1" applyFont="1" applyBorder="1" applyAlignment="1" applyProtection="1">
      <alignment horizontal="left" vertical="center" wrapText="1"/>
      <protection locked="0"/>
    </xf>
    <xf numFmtId="0" fontId="18" fillId="0" borderId="8" xfId="8" applyFont="1" applyBorder="1" applyAlignment="1" applyProtection="1">
      <alignment horizontal="left" vertical="center" wrapText="1"/>
      <protection locked="0"/>
    </xf>
    <xf numFmtId="0" fontId="18" fillId="0" borderId="8" xfId="7" applyFont="1" applyFill="1" applyBorder="1" applyAlignment="1" applyProtection="1">
      <alignment horizontal="left" vertical="center" wrapText="1"/>
    </xf>
    <xf numFmtId="166" fontId="15" fillId="0" borderId="8" xfId="1" applyNumberFormat="1" applyFont="1" applyBorder="1" applyAlignment="1" applyProtection="1">
      <alignment horizontal="center" vertical="center"/>
      <protection locked="0"/>
    </xf>
    <xf numFmtId="166" fontId="15" fillId="0" borderId="8" xfId="1" applyNumberFormat="1" applyFont="1" applyBorder="1" applyAlignment="1" applyProtection="1">
      <alignment horizontal="center" vertical="center" wrapText="1"/>
      <protection locked="0"/>
    </xf>
    <xf numFmtId="166" fontId="18" fillId="0" borderId="8" xfId="1" applyNumberFormat="1" applyFont="1" applyBorder="1" applyAlignment="1" applyProtection="1">
      <alignment horizontal="center" vertical="center" wrapText="1"/>
      <protection locked="0"/>
    </xf>
    <xf numFmtId="0" fontId="20" fillId="4" borderId="8" xfId="1" applyFont="1" applyFill="1" applyBorder="1" applyAlignment="1">
      <alignment horizontal="center" vertical="center" wrapText="1"/>
    </xf>
    <xf numFmtId="167" fontId="18" fillId="0" borderId="8" xfId="1" applyNumberFormat="1" applyFont="1" applyBorder="1" applyAlignment="1" applyProtection="1">
      <alignment horizontal="center" vertical="center" wrapText="1"/>
      <protection locked="0"/>
    </xf>
    <xf numFmtId="0" fontId="18" fillId="0" borderId="8" xfId="1" applyFont="1" applyBorder="1" applyAlignment="1">
      <alignment horizontal="center" vertical="center" wrapText="1"/>
    </xf>
    <xf numFmtId="0" fontId="20" fillId="4" borderId="15" xfId="1" applyFont="1" applyFill="1" applyBorder="1" applyAlignment="1" applyProtection="1">
      <alignment horizontal="center" vertical="top"/>
      <protection locked="0"/>
    </xf>
    <xf numFmtId="0" fontId="15" fillId="5" borderId="8" xfId="1" applyFont="1" applyFill="1" applyBorder="1" applyAlignment="1">
      <alignment horizontal="left" vertical="center" wrapText="1"/>
    </xf>
    <xf numFmtId="0" fontId="15" fillId="5" borderId="8" xfId="7" applyFont="1" applyFill="1" applyBorder="1" applyAlignment="1" applyProtection="1">
      <alignment horizontal="left" vertical="center" wrapText="1"/>
    </xf>
    <xf numFmtId="0" fontId="15" fillId="5" borderId="8" xfId="1" applyFont="1" applyFill="1" applyBorder="1" applyAlignment="1" applyProtection="1">
      <alignment horizontal="left" vertical="center" wrapText="1"/>
      <protection locked="0"/>
    </xf>
    <xf numFmtId="0" fontId="18" fillId="5" borderId="8" xfId="1" applyFont="1" applyFill="1" applyBorder="1" applyAlignment="1">
      <alignment horizontal="left" vertical="center" wrapText="1"/>
    </xf>
    <xf numFmtId="0" fontId="18" fillId="5" borderId="8" xfId="7" applyFont="1" applyFill="1" applyBorder="1" applyAlignment="1" applyProtection="1">
      <alignment horizontal="left" vertical="center" wrapText="1"/>
    </xf>
    <xf numFmtId="0" fontId="18" fillId="5" borderId="8" xfId="1" applyFont="1" applyFill="1" applyBorder="1" applyAlignment="1" applyProtection="1">
      <alignment horizontal="left" vertical="center" wrapText="1"/>
      <protection locked="0"/>
    </xf>
    <xf numFmtId="0" fontId="2" fillId="4" borderId="18" xfId="5" applyFont="1" applyFill="1" applyBorder="1" applyAlignment="1" applyProtection="1">
      <alignment vertical="top"/>
      <protection locked="0"/>
    </xf>
    <xf numFmtId="15" fontId="2" fillId="4" borderId="18" xfId="5" applyNumberFormat="1" applyFont="1" applyFill="1" applyBorder="1" applyAlignment="1" applyProtection="1">
      <alignment horizontal="left" vertical="top"/>
      <protection locked="0"/>
    </xf>
    <xf numFmtId="0" fontId="4" fillId="0" borderId="18" xfId="11" applyFont="1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5" fontId="11" fillId="0" borderId="0" xfId="0" applyNumberFormat="1" applyFont="1" applyAlignment="1">
      <alignment horizontal="left" vertical="center"/>
    </xf>
    <xf numFmtId="0" fontId="4" fillId="0" borderId="0" xfId="11" applyFont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10" fillId="0" borderId="19" xfId="0" applyFont="1" applyBorder="1" applyAlignment="1">
      <alignment horizontal="left"/>
    </xf>
    <xf numFmtId="0" fontId="3" fillId="0" borderId="6" xfId="1" applyFont="1" applyBorder="1" applyAlignment="1">
      <alignment horizontal="left" vertical="center"/>
    </xf>
    <xf numFmtId="0" fontId="4" fillId="0" borderId="0" xfId="0" applyFont="1"/>
    <xf numFmtId="0" fontId="2" fillId="4" borderId="20" xfId="5" applyFont="1" applyFill="1" applyBorder="1" applyAlignment="1" applyProtection="1">
      <alignment vertical="top"/>
      <protection locked="0"/>
    </xf>
    <xf numFmtId="0" fontId="2" fillId="2" borderId="8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165" fontId="3" fillId="0" borderId="6" xfId="1" applyNumberFormat="1" applyFont="1" applyBorder="1" applyAlignment="1">
      <alignment horizontal="left" vertical="center"/>
    </xf>
    <xf numFmtId="164" fontId="3" fillId="0" borderId="5" xfId="1" applyNumberFormat="1" applyFont="1" applyBorder="1" applyAlignment="1">
      <alignment horizontal="left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</cellXfs>
  <cellStyles count="12">
    <cellStyle name="_Amar's Vehicle_Audit_Report_auto_july_agt_06_Nasik Auto Jan. 07_cv_PIVOT 1_SERIES 2" xfId="8" xr:uid="{769AE058-3E60-4935-A451-AE88C81DA2CF}"/>
    <cellStyle name="DataPilot Category 2" xfId="4" xr:uid="{82730B84-8C47-434F-AECA-C4675DCAF221}"/>
    <cellStyle name="Good 2" xfId="2" xr:uid="{7FB5E02E-E4E2-4A01-A7E8-6A5530929804}"/>
    <cellStyle name="Normal" xfId="0" builtinId="0"/>
    <cellStyle name="Normal 2" xfId="11" xr:uid="{7D17FEED-D60F-449A-8D01-33CA96870384}"/>
    <cellStyle name="Normal 2 2" xfId="6" xr:uid="{EB7A4FB8-C03E-45B3-ABD6-DD92C92354EB}"/>
    <cellStyle name="Normal 4" xfId="1" xr:uid="{E9BD3C0A-BA46-4D07-827A-157C1B5F89C2}"/>
    <cellStyle name="Normal_DM 2" xfId="7" xr:uid="{9B24B535-54F2-45F3-89B8-B6FBCF20D09B}"/>
    <cellStyle name="Normal_DM_1 2" xfId="5" xr:uid="{3449F1B5-6E54-479E-8B47-80A3012AEED4}"/>
    <cellStyle name="Normal_Lead Team - May'2012 2" xfId="10" xr:uid="{BF4115B5-83C4-4158-97C1-7516756AA575}"/>
    <cellStyle name="Normal_Sheet1 2" xfId="9" xr:uid="{993F0AAF-00E5-4B80-A76A-C990E350D83B}"/>
    <cellStyle name="Percent 2 2" xfId="3" xr:uid="{5FAEF06A-D1CF-4D73-AD6A-189A0B65DC23}"/>
  </cellStyles>
  <dxfs count="6"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  <dxf>
      <fill>
        <patternFill>
          <bgColor theme="9" tint="0.59996337778862885"/>
        </patternFill>
      </fill>
    </dxf>
    <dxf>
      <fill>
        <patternFill>
          <bgColor rgb="FFFF2F2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9D29-7097-486E-942D-3E267DC0F113}">
  <sheetPr codeName="Sheet2"/>
  <dimension ref="B2:K31"/>
  <sheetViews>
    <sheetView tabSelected="1" workbookViewId="0"/>
  </sheetViews>
  <sheetFormatPr defaultColWidth="9" defaultRowHeight="13.8" x14ac:dyDescent="0.3"/>
  <cols>
    <col min="1" max="1" width="2.3984375" style="2" customWidth="1"/>
    <col min="2" max="2" width="24.8984375" style="2" customWidth="1"/>
    <col min="3" max="3" width="37.3984375" style="2" customWidth="1"/>
    <col min="4" max="4" width="32.09765625" style="2" customWidth="1"/>
    <col min="5" max="5" width="43.5" style="2" customWidth="1"/>
    <col min="6" max="6" width="30" style="2" bestFit="1" customWidth="1"/>
    <col min="7" max="7" width="45" style="2" customWidth="1"/>
    <col min="8" max="16384" width="9" style="2"/>
  </cols>
  <sheetData>
    <row r="2" spans="2:11" s="1" customFormat="1" x14ac:dyDescent="0.3">
      <c r="B2" s="134" t="s">
        <v>0</v>
      </c>
      <c r="C2" s="135"/>
      <c r="D2" s="135"/>
      <c r="E2" s="135"/>
      <c r="F2" s="135"/>
      <c r="G2" s="136"/>
    </row>
    <row r="3" spans="2:11" s="131" customFormat="1" x14ac:dyDescent="0.3"/>
    <row r="4" spans="2:11" ht="14.4" thickBot="1" x14ac:dyDescent="0.35"/>
    <row r="5" spans="2:11" ht="14.4" thickBot="1" x14ac:dyDescent="0.35">
      <c r="B5" s="3" t="s">
        <v>1</v>
      </c>
      <c r="C5" s="4" t="s">
        <v>2</v>
      </c>
      <c r="G5" s="5"/>
      <c r="H5" s="6"/>
    </row>
    <row r="6" spans="2:11" x14ac:dyDescent="0.3">
      <c r="B6" s="7" t="s">
        <v>3</v>
      </c>
      <c r="C6" s="137"/>
      <c r="D6" s="7" t="s">
        <v>4</v>
      </c>
      <c r="E6" s="139"/>
      <c r="F6" s="7" t="s">
        <v>5</v>
      </c>
      <c r="G6" s="142"/>
    </row>
    <row r="7" spans="2:11" x14ac:dyDescent="0.3">
      <c r="B7" s="8" t="s">
        <v>6</v>
      </c>
      <c r="C7" s="138"/>
      <c r="D7" s="8" t="s">
        <v>7</v>
      </c>
      <c r="E7" s="140"/>
      <c r="F7" s="8" t="s">
        <v>8</v>
      </c>
      <c r="G7" s="129" t="s">
        <v>190</v>
      </c>
    </row>
    <row r="8" spans="2:11" ht="14.4" thickBot="1" x14ac:dyDescent="0.35">
      <c r="B8" s="8" t="s">
        <v>9</v>
      </c>
      <c r="C8" s="130"/>
      <c r="D8" s="8" t="s">
        <v>10</v>
      </c>
      <c r="E8" s="130"/>
      <c r="F8" s="9" t="s">
        <v>11</v>
      </c>
      <c r="G8" s="141"/>
    </row>
    <row r="9" spans="2:11" x14ac:dyDescent="0.3">
      <c r="B9" s="8" t="s">
        <v>12</v>
      </c>
      <c r="C9" s="130"/>
      <c r="D9" s="8" t="s">
        <v>13</v>
      </c>
      <c r="E9" s="130" t="s">
        <v>68</v>
      </c>
      <c r="G9" s="10"/>
    </row>
    <row r="10" spans="2:11" ht="42" thickBot="1" x14ac:dyDescent="0.35">
      <c r="B10" s="11" t="s">
        <v>14</v>
      </c>
      <c r="C10" s="128" t="s">
        <v>189</v>
      </c>
      <c r="D10" s="11" t="s">
        <v>15</v>
      </c>
      <c r="E10" s="128"/>
      <c r="F10" s="12"/>
      <c r="G10" s="5"/>
    </row>
    <row r="11" spans="2:11" x14ac:dyDescent="0.3">
      <c r="B11" s="13"/>
      <c r="C11" s="6"/>
      <c r="D11" s="14"/>
      <c r="E11" s="6"/>
      <c r="F11" s="12"/>
      <c r="G11" s="5"/>
    </row>
    <row r="12" spans="2:11" x14ac:dyDescent="0.3">
      <c r="B12" s="15"/>
      <c r="C12" s="15"/>
      <c r="D12" s="15"/>
      <c r="E12" s="15"/>
      <c r="F12" s="15"/>
      <c r="G12" s="15"/>
    </row>
    <row r="13" spans="2:11" x14ac:dyDescent="0.3">
      <c r="B13" s="16" t="s">
        <v>16</v>
      </c>
      <c r="C13" s="15"/>
      <c r="D13" s="15"/>
      <c r="E13" s="15"/>
      <c r="F13" s="15"/>
      <c r="G13" s="15"/>
      <c r="H13" s="17"/>
      <c r="I13" s="17"/>
      <c r="J13" s="17"/>
      <c r="K13" s="17"/>
    </row>
    <row r="14" spans="2:11" x14ac:dyDescent="0.3">
      <c r="B14" s="133" t="s">
        <v>17</v>
      </c>
      <c r="C14" s="133" t="s">
        <v>18</v>
      </c>
      <c r="D14" s="133" t="s">
        <v>19</v>
      </c>
      <c r="E14" s="133" t="s">
        <v>20</v>
      </c>
      <c r="F14" s="133" t="s">
        <v>21</v>
      </c>
      <c r="G14" s="18"/>
      <c r="H14" s="18"/>
      <c r="I14" s="18"/>
      <c r="J14" s="18"/>
      <c r="K14" s="18"/>
    </row>
    <row r="15" spans="2:11" x14ac:dyDescent="0.3">
      <c r="B15" s="133"/>
      <c r="C15" s="133"/>
      <c r="D15" s="133"/>
      <c r="E15" s="133"/>
      <c r="F15" s="133"/>
      <c r="G15" s="19"/>
      <c r="H15" s="19"/>
      <c r="I15" s="19"/>
      <c r="J15" s="19"/>
      <c r="K15" s="19"/>
    </row>
    <row r="16" spans="2:11" x14ac:dyDescent="0.3">
      <c r="B16" s="20" t="s">
        <v>22</v>
      </c>
      <c r="C16" s="21">
        <f>Agency!J20</f>
        <v>40</v>
      </c>
      <c r="D16" s="21">
        <v>40</v>
      </c>
      <c r="E16" s="22">
        <f>C16/D16</f>
        <v>1</v>
      </c>
      <c r="F16" s="23"/>
    </row>
    <row r="17" spans="2:6" x14ac:dyDescent="0.3">
      <c r="B17" s="20" t="s">
        <v>23</v>
      </c>
      <c r="C17" s="21">
        <f>Agency!J26</f>
        <v>40</v>
      </c>
      <c r="D17" s="21">
        <v>40</v>
      </c>
      <c r="E17" s="22">
        <f t="shared" ref="E17:E19" si="0">C17/D17</f>
        <v>1</v>
      </c>
      <c r="F17" s="23"/>
    </row>
    <row r="18" spans="2:6" x14ac:dyDescent="0.3">
      <c r="B18" s="20" t="s">
        <v>24</v>
      </c>
      <c r="C18" s="21">
        <f>Agency!J36</f>
        <v>20</v>
      </c>
      <c r="D18" s="21">
        <v>20</v>
      </c>
      <c r="E18" s="22">
        <f t="shared" si="0"/>
        <v>1</v>
      </c>
      <c r="F18" s="23"/>
    </row>
    <row r="19" spans="2:6" x14ac:dyDescent="0.3">
      <c r="B19" s="20" t="s">
        <v>25</v>
      </c>
      <c r="C19" s="24">
        <f>SUM(C16:C18)</f>
        <v>100</v>
      </c>
      <c r="D19" s="24">
        <f>SUM(D16:D18)</f>
        <v>100</v>
      </c>
      <c r="E19" s="25">
        <f t="shared" si="0"/>
        <v>1</v>
      </c>
      <c r="F19" s="133" t="str">
        <f>IF(ROUNDUP(E19,2)&lt;60%,"C",IF(ROUNDUP(E19,2)&lt;70%,"C+",IF(ROUNDUP(E19,2)&lt;80%,"B",IF(ROUNDUP(E19,2)&lt;90%,"B+",IF(ROUNDUP(E19,2)&lt;100%,"A","A+")))))</f>
        <v>A+</v>
      </c>
    </row>
    <row r="20" spans="2:6" x14ac:dyDescent="0.3">
      <c r="B20" s="20" t="s">
        <v>26</v>
      </c>
      <c r="C20" s="133" t="str">
        <f>VLOOKUP($F$19,$C$25:$D$31,2,FALSE)</f>
        <v>Excellent</v>
      </c>
      <c r="D20" s="133"/>
      <c r="E20" s="133"/>
      <c r="F20" s="133"/>
    </row>
    <row r="24" spans="2:6" x14ac:dyDescent="0.3">
      <c r="B24" s="26" t="s">
        <v>27</v>
      </c>
      <c r="C24" s="6"/>
      <c r="D24" s="6"/>
    </row>
    <row r="25" spans="2:6" x14ac:dyDescent="0.3">
      <c r="B25" s="20" t="s">
        <v>28</v>
      </c>
      <c r="C25" s="20" t="s">
        <v>21</v>
      </c>
      <c r="D25" s="20" t="s">
        <v>29</v>
      </c>
    </row>
    <row r="26" spans="2:6" x14ac:dyDescent="0.3">
      <c r="B26" s="27">
        <v>100</v>
      </c>
      <c r="C26" s="28" t="s">
        <v>30</v>
      </c>
      <c r="D26" s="29" t="s">
        <v>31</v>
      </c>
    </row>
    <row r="27" spans="2:6" x14ac:dyDescent="0.3">
      <c r="B27" s="29" t="s">
        <v>32</v>
      </c>
      <c r="C27" s="28" t="s">
        <v>33</v>
      </c>
      <c r="D27" s="29" t="s">
        <v>34</v>
      </c>
    </row>
    <row r="28" spans="2:6" x14ac:dyDescent="0.3">
      <c r="B28" s="29" t="s">
        <v>35</v>
      </c>
      <c r="C28" s="28" t="s">
        <v>36</v>
      </c>
      <c r="D28" s="29" t="s">
        <v>37</v>
      </c>
    </row>
    <row r="29" spans="2:6" x14ac:dyDescent="0.3">
      <c r="B29" s="29" t="s">
        <v>38</v>
      </c>
      <c r="C29" s="28" t="s">
        <v>39</v>
      </c>
      <c r="D29" s="29" t="s">
        <v>40</v>
      </c>
    </row>
    <row r="30" spans="2:6" x14ac:dyDescent="0.3">
      <c r="B30" s="29" t="s">
        <v>41</v>
      </c>
      <c r="C30" s="28" t="s">
        <v>42</v>
      </c>
      <c r="D30" s="29" t="s">
        <v>43</v>
      </c>
    </row>
    <row r="31" spans="2:6" x14ac:dyDescent="0.3">
      <c r="B31" s="29" t="s">
        <v>44</v>
      </c>
      <c r="C31" s="28" t="s">
        <v>45</v>
      </c>
      <c r="D31" s="29" t="s">
        <v>46</v>
      </c>
    </row>
  </sheetData>
  <mergeCells count="8">
    <mergeCell ref="F19:F20"/>
    <mergeCell ref="C20:E20"/>
    <mergeCell ref="B2:G2"/>
    <mergeCell ref="B14:B15"/>
    <mergeCell ref="C14:C15"/>
    <mergeCell ref="D14:D15"/>
    <mergeCell ref="E14:E15"/>
    <mergeCell ref="F14:F15"/>
  </mergeCells>
  <conditionalFormatting sqref="C7">
    <cfRule type="expression" dxfId="5" priority="5">
      <formula>OR($V7="Excluded",$V7="Audit Failed")</formula>
    </cfRule>
    <cfRule type="expression" dxfId="4" priority="6">
      <formula>$V7="Audited"</formula>
    </cfRule>
  </conditionalFormatting>
  <conditionalFormatting sqref="E6">
    <cfRule type="expression" dxfId="3" priority="3">
      <formula>OR($V6="Excluded",$V6="Audit Failed")</formula>
    </cfRule>
    <cfRule type="expression" dxfId="2" priority="4">
      <formula>$V6="Audited"</formula>
    </cfRule>
  </conditionalFormatting>
  <conditionalFormatting sqref="G8">
    <cfRule type="expression" dxfId="1" priority="1">
      <formula>OR($V8="Excluded",$V8="Audit Failed")</formula>
    </cfRule>
    <cfRule type="expression" dxfId="0" priority="2">
      <formula>$V8="Audited"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8F9A-B6BD-4F52-A643-C5122401B83E}">
  <sheetPr codeName="Sheet3"/>
  <dimension ref="A1:Q38"/>
  <sheetViews>
    <sheetView zoomScaleNormal="100" workbookViewId="0"/>
  </sheetViews>
  <sheetFormatPr defaultColWidth="18.8984375" defaultRowHeight="13.8" x14ac:dyDescent="0.25"/>
  <cols>
    <col min="1" max="1" width="5.8984375" style="74" bestFit="1" customWidth="1"/>
    <col min="2" max="2" width="17.8984375" style="57" bestFit="1" customWidth="1"/>
    <col min="3" max="3" width="19.59765625" style="57" bestFit="1" customWidth="1"/>
    <col min="4" max="4" width="8.59765625" style="57" bestFit="1" customWidth="1"/>
    <col min="5" max="5" width="37.3984375" style="57" bestFit="1" customWidth="1"/>
    <col min="6" max="6" width="37.3984375" style="57" customWidth="1"/>
    <col min="7" max="7" width="16.3984375" style="57" bestFit="1" customWidth="1"/>
    <col min="8" max="8" width="14.8984375" style="57" bestFit="1" customWidth="1"/>
    <col min="9" max="9" width="10.19921875" style="57" bestFit="1" customWidth="1"/>
    <col min="10" max="10" width="6.59765625" style="57" bestFit="1" customWidth="1"/>
    <col min="11" max="11" width="37.3984375" style="57" customWidth="1"/>
    <col min="12" max="12" width="44.59765625" style="57" bestFit="1" customWidth="1"/>
    <col min="13" max="13" width="15" style="57" bestFit="1" customWidth="1"/>
    <col min="14" max="14" width="17.09765625" style="57" bestFit="1" customWidth="1"/>
    <col min="15" max="15" width="10.3984375" style="57" bestFit="1" customWidth="1"/>
    <col min="16" max="16384" width="18.8984375" style="57"/>
  </cols>
  <sheetData>
    <row r="1" spans="1:15" s="36" customFormat="1" x14ac:dyDescent="0.25">
      <c r="A1" s="30" t="s">
        <v>47</v>
      </c>
      <c r="B1" s="31" t="s">
        <v>48</v>
      </c>
      <c r="C1" s="31" t="s">
        <v>49</v>
      </c>
      <c r="D1" s="31" t="s">
        <v>50</v>
      </c>
      <c r="E1" s="31" t="s">
        <v>51</v>
      </c>
      <c r="F1" s="31" t="s">
        <v>52</v>
      </c>
      <c r="G1" s="31" t="s">
        <v>53</v>
      </c>
      <c r="H1" s="32" t="s">
        <v>54</v>
      </c>
      <c r="I1" s="32" t="s">
        <v>55</v>
      </c>
      <c r="J1" s="32" t="s">
        <v>28</v>
      </c>
      <c r="K1" s="31" t="s">
        <v>56</v>
      </c>
      <c r="L1" s="33" t="s">
        <v>57</v>
      </c>
      <c r="M1" s="34" t="s">
        <v>58</v>
      </c>
      <c r="N1" s="34" t="s">
        <v>59</v>
      </c>
      <c r="O1" s="35" t="s">
        <v>60</v>
      </c>
    </row>
    <row r="2" spans="1:15" s="43" customFormat="1" ht="52.8" x14ac:dyDescent="0.25">
      <c r="A2" s="76">
        <v>1</v>
      </c>
      <c r="B2" s="80" t="s">
        <v>61</v>
      </c>
      <c r="C2" s="81" t="s">
        <v>62</v>
      </c>
      <c r="D2" s="81" t="s">
        <v>63</v>
      </c>
      <c r="E2" s="81" t="s">
        <v>64</v>
      </c>
      <c r="F2" s="82" t="s">
        <v>65</v>
      </c>
      <c r="G2" s="83" t="s">
        <v>66</v>
      </c>
      <c r="H2" s="84" t="s">
        <v>67</v>
      </c>
      <c r="I2" s="85" t="s">
        <v>68</v>
      </c>
      <c r="J2" s="108">
        <f>IF(H2="NA","NA",IF(H2="Yes",10,0))</f>
        <v>10</v>
      </c>
      <c r="K2" s="38"/>
      <c r="L2" s="39" t="s">
        <v>179</v>
      </c>
      <c r="M2" s="40"/>
      <c r="N2" s="41"/>
      <c r="O2" s="42"/>
    </row>
    <row r="3" spans="1:15" s="43" customFormat="1" ht="52.8" x14ac:dyDescent="0.25">
      <c r="A3" s="76">
        <v>2</v>
      </c>
      <c r="B3" s="80" t="s">
        <v>61</v>
      </c>
      <c r="C3" s="81" t="s">
        <v>62</v>
      </c>
      <c r="D3" s="81" t="s">
        <v>63</v>
      </c>
      <c r="E3" s="81" t="s">
        <v>64</v>
      </c>
      <c r="F3" s="82" t="s">
        <v>69</v>
      </c>
      <c r="G3" s="83" t="s">
        <v>66</v>
      </c>
      <c r="H3" s="84" t="s">
        <v>67</v>
      </c>
      <c r="I3" s="85" t="s">
        <v>68</v>
      </c>
      <c r="J3" s="108">
        <f>IF(H3="NA","NA",IF(H3="Yes",10,0))</f>
        <v>10</v>
      </c>
      <c r="K3" s="38"/>
      <c r="L3" s="39" t="s">
        <v>180</v>
      </c>
      <c r="M3" s="40"/>
      <c r="N3" s="41"/>
      <c r="O3" s="42"/>
    </row>
    <row r="4" spans="1:15" s="43" customFormat="1" ht="52.8" x14ac:dyDescent="0.25">
      <c r="A4" s="76">
        <v>3</v>
      </c>
      <c r="B4" s="80" t="s">
        <v>61</v>
      </c>
      <c r="C4" s="81" t="s">
        <v>62</v>
      </c>
      <c r="D4" s="81" t="s">
        <v>63</v>
      </c>
      <c r="E4" s="81" t="s">
        <v>64</v>
      </c>
      <c r="F4" s="82" t="s">
        <v>70</v>
      </c>
      <c r="G4" s="83" t="s">
        <v>66</v>
      </c>
      <c r="H4" s="84" t="s">
        <v>67</v>
      </c>
      <c r="I4" s="85" t="s">
        <v>68</v>
      </c>
      <c r="J4" s="108">
        <f>IF(H4="NA","NA",IF(H4="Yes",10,0))</f>
        <v>10</v>
      </c>
      <c r="K4" s="38"/>
      <c r="L4" s="39" t="s">
        <v>181</v>
      </c>
      <c r="M4" s="40"/>
      <c r="N4" s="41"/>
      <c r="O4" s="42"/>
    </row>
    <row r="5" spans="1:15" s="43" customFormat="1" ht="52.8" x14ac:dyDescent="0.25">
      <c r="A5" s="76">
        <v>4</v>
      </c>
      <c r="B5" s="80" t="s">
        <v>61</v>
      </c>
      <c r="C5" s="81" t="s">
        <v>62</v>
      </c>
      <c r="D5" s="81" t="s">
        <v>63</v>
      </c>
      <c r="E5" s="81" t="s">
        <v>64</v>
      </c>
      <c r="F5" s="82" t="s">
        <v>71</v>
      </c>
      <c r="G5" s="83" t="s">
        <v>66</v>
      </c>
      <c r="H5" s="84" t="s">
        <v>67</v>
      </c>
      <c r="I5" s="85" t="s">
        <v>68</v>
      </c>
      <c r="J5" s="108">
        <f>IF(H5="NA","NA",IF(H5="Yes",10,0))</f>
        <v>10</v>
      </c>
      <c r="K5" s="38"/>
      <c r="L5" s="39" t="s">
        <v>182</v>
      </c>
      <c r="M5" s="40"/>
      <c r="N5" s="41"/>
      <c r="O5" s="42"/>
    </row>
    <row r="6" spans="1:15" s="43" customFormat="1" ht="39.6" x14ac:dyDescent="0.25">
      <c r="A6" s="76">
        <v>5</v>
      </c>
      <c r="B6" s="86" t="s">
        <v>72</v>
      </c>
      <c r="C6" s="81" t="s">
        <v>73</v>
      </c>
      <c r="D6" s="81" t="s">
        <v>74</v>
      </c>
      <c r="E6" s="81" t="s">
        <v>75</v>
      </c>
      <c r="F6" s="87" t="s">
        <v>76</v>
      </c>
      <c r="G6" s="81" t="s">
        <v>77</v>
      </c>
      <c r="H6" s="84" t="s">
        <v>67</v>
      </c>
      <c r="I6" s="84" t="s">
        <v>68</v>
      </c>
      <c r="J6" s="108">
        <f t="shared" ref="J6:J15" si="0">IF(H6="NA","NA",IF(H6="Yes",10,IF(I6=1,8,IF(I6=2,6,IF(I6=3,4,IF(I6=4,2,IF(I6&gt;=4,0)))))))</f>
        <v>10</v>
      </c>
      <c r="K6" s="37"/>
      <c r="L6" s="44" t="s">
        <v>171</v>
      </c>
      <c r="M6" s="37"/>
      <c r="N6" s="45"/>
      <c r="O6" s="42"/>
    </row>
    <row r="7" spans="1:15" s="43" customFormat="1" ht="39.6" x14ac:dyDescent="0.25">
      <c r="A7" s="76">
        <v>6</v>
      </c>
      <c r="B7" s="86" t="s">
        <v>72</v>
      </c>
      <c r="C7" s="81" t="s">
        <v>73</v>
      </c>
      <c r="D7" s="81" t="s">
        <v>74</v>
      </c>
      <c r="E7" s="81" t="s">
        <v>75</v>
      </c>
      <c r="F7" s="87" t="s">
        <v>78</v>
      </c>
      <c r="G7" s="81" t="s">
        <v>77</v>
      </c>
      <c r="H7" s="84" t="s">
        <v>67</v>
      </c>
      <c r="I7" s="84" t="s">
        <v>68</v>
      </c>
      <c r="J7" s="108">
        <f t="shared" si="0"/>
        <v>10</v>
      </c>
      <c r="K7" s="37"/>
      <c r="L7" s="44" t="s">
        <v>171</v>
      </c>
      <c r="M7" s="37"/>
      <c r="N7" s="45"/>
      <c r="O7" s="42"/>
    </row>
    <row r="8" spans="1:15" s="43" customFormat="1" ht="39.6" x14ac:dyDescent="0.25">
      <c r="A8" s="76">
        <v>7</v>
      </c>
      <c r="B8" s="86" t="s">
        <v>72</v>
      </c>
      <c r="C8" s="81" t="s">
        <v>73</v>
      </c>
      <c r="D8" s="81" t="s">
        <v>74</v>
      </c>
      <c r="E8" s="81" t="s">
        <v>75</v>
      </c>
      <c r="F8" s="87" t="s">
        <v>79</v>
      </c>
      <c r="G8" s="81" t="s">
        <v>77</v>
      </c>
      <c r="H8" s="84" t="s">
        <v>68</v>
      </c>
      <c r="I8" s="84" t="s">
        <v>68</v>
      </c>
      <c r="J8" s="108" t="str">
        <f t="shared" si="0"/>
        <v>NA</v>
      </c>
      <c r="K8" s="37"/>
      <c r="L8" s="44" t="s">
        <v>188</v>
      </c>
      <c r="M8" s="37"/>
      <c r="N8" s="45"/>
      <c r="O8" s="42"/>
    </row>
    <row r="9" spans="1:15" s="43" customFormat="1" ht="39.6" x14ac:dyDescent="0.25">
      <c r="A9" s="76">
        <v>8</v>
      </c>
      <c r="B9" s="86" t="s">
        <v>72</v>
      </c>
      <c r="C9" s="81" t="s">
        <v>73</v>
      </c>
      <c r="D9" s="81" t="s">
        <v>74</v>
      </c>
      <c r="E9" s="81" t="s">
        <v>75</v>
      </c>
      <c r="F9" s="87" t="s">
        <v>80</v>
      </c>
      <c r="G9" s="81" t="s">
        <v>77</v>
      </c>
      <c r="H9" s="84" t="s">
        <v>68</v>
      </c>
      <c r="I9" s="84" t="s">
        <v>68</v>
      </c>
      <c r="J9" s="108" t="str">
        <f t="shared" si="0"/>
        <v>NA</v>
      </c>
      <c r="K9" s="37"/>
      <c r="L9" s="44" t="s">
        <v>188</v>
      </c>
      <c r="M9" s="37"/>
      <c r="N9" s="45"/>
      <c r="O9" s="42"/>
    </row>
    <row r="10" spans="1:15" s="43" customFormat="1" ht="39.6" x14ac:dyDescent="0.25">
      <c r="A10" s="76">
        <v>9</v>
      </c>
      <c r="B10" s="86" t="s">
        <v>72</v>
      </c>
      <c r="C10" s="81" t="s">
        <v>73</v>
      </c>
      <c r="D10" s="81" t="s">
        <v>74</v>
      </c>
      <c r="E10" s="81" t="s">
        <v>75</v>
      </c>
      <c r="F10" s="87" t="s">
        <v>81</v>
      </c>
      <c r="G10" s="81" t="s">
        <v>77</v>
      </c>
      <c r="H10" s="84" t="s">
        <v>68</v>
      </c>
      <c r="I10" s="84" t="s">
        <v>68</v>
      </c>
      <c r="J10" s="108" t="str">
        <f t="shared" si="0"/>
        <v>NA</v>
      </c>
      <c r="K10" s="37"/>
      <c r="L10" s="44" t="s">
        <v>188</v>
      </c>
      <c r="M10" s="37"/>
      <c r="N10" s="45"/>
      <c r="O10" s="42"/>
    </row>
    <row r="11" spans="1:15" s="43" customFormat="1" ht="39.6" x14ac:dyDescent="0.25">
      <c r="A11" s="76">
        <v>10</v>
      </c>
      <c r="B11" s="86" t="s">
        <v>72</v>
      </c>
      <c r="C11" s="81" t="s">
        <v>73</v>
      </c>
      <c r="D11" s="81" t="s">
        <v>74</v>
      </c>
      <c r="E11" s="81" t="s">
        <v>75</v>
      </c>
      <c r="F11" s="87" t="s">
        <v>82</v>
      </c>
      <c r="G11" s="81" t="s">
        <v>77</v>
      </c>
      <c r="H11" s="84" t="s">
        <v>67</v>
      </c>
      <c r="I11" s="84" t="s">
        <v>68</v>
      </c>
      <c r="J11" s="108">
        <f t="shared" si="0"/>
        <v>10</v>
      </c>
      <c r="K11" s="37"/>
      <c r="L11" s="44" t="s">
        <v>171</v>
      </c>
      <c r="M11" s="37"/>
      <c r="N11" s="45"/>
      <c r="O11" s="42"/>
    </row>
    <row r="12" spans="1:15" s="43" customFormat="1" ht="39.6" x14ac:dyDescent="0.25">
      <c r="A12" s="76">
        <v>11</v>
      </c>
      <c r="B12" s="86" t="s">
        <v>72</v>
      </c>
      <c r="C12" s="81" t="s">
        <v>73</v>
      </c>
      <c r="D12" s="81" t="s">
        <v>74</v>
      </c>
      <c r="E12" s="81" t="s">
        <v>75</v>
      </c>
      <c r="F12" s="87" t="s">
        <v>83</v>
      </c>
      <c r="G12" s="81" t="s">
        <v>77</v>
      </c>
      <c r="H12" s="84" t="s">
        <v>68</v>
      </c>
      <c r="I12" s="84" t="s">
        <v>68</v>
      </c>
      <c r="J12" s="108" t="str">
        <f t="shared" si="0"/>
        <v>NA</v>
      </c>
      <c r="K12" s="37"/>
      <c r="L12" s="44" t="s">
        <v>188</v>
      </c>
      <c r="M12" s="37"/>
      <c r="N12" s="45"/>
      <c r="O12" s="42"/>
    </row>
    <row r="13" spans="1:15" s="43" customFormat="1" ht="39.6" x14ac:dyDescent="0.25">
      <c r="A13" s="76">
        <v>12</v>
      </c>
      <c r="B13" s="86" t="s">
        <v>72</v>
      </c>
      <c r="C13" s="81" t="s">
        <v>73</v>
      </c>
      <c r="D13" s="81" t="s">
        <v>74</v>
      </c>
      <c r="E13" s="81" t="s">
        <v>75</v>
      </c>
      <c r="F13" s="87" t="s">
        <v>84</v>
      </c>
      <c r="G13" s="81" t="s">
        <v>77</v>
      </c>
      <c r="H13" s="84" t="s">
        <v>67</v>
      </c>
      <c r="I13" s="84" t="s">
        <v>68</v>
      </c>
      <c r="J13" s="108">
        <f t="shared" si="0"/>
        <v>10</v>
      </c>
      <c r="K13" s="37"/>
      <c r="L13" s="44" t="s">
        <v>171</v>
      </c>
      <c r="M13" s="37"/>
      <c r="N13" s="45"/>
      <c r="O13" s="42"/>
    </row>
    <row r="14" spans="1:15" s="43" customFormat="1" ht="39.6" x14ac:dyDescent="0.25">
      <c r="A14" s="76">
        <v>13</v>
      </c>
      <c r="B14" s="86" t="s">
        <v>72</v>
      </c>
      <c r="C14" s="81" t="s">
        <v>73</v>
      </c>
      <c r="D14" s="81" t="s">
        <v>74</v>
      </c>
      <c r="E14" s="81" t="s">
        <v>75</v>
      </c>
      <c r="F14" s="87" t="s">
        <v>85</v>
      </c>
      <c r="G14" s="81" t="s">
        <v>77</v>
      </c>
      <c r="H14" s="84" t="s">
        <v>67</v>
      </c>
      <c r="I14" s="84" t="s">
        <v>68</v>
      </c>
      <c r="J14" s="108">
        <f t="shared" si="0"/>
        <v>10</v>
      </c>
      <c r="K14" s="37"/>
      <c r="L14" s="44" t="s">
        <v>171</v>
      </c>
      <c r="M14" s="37"/>
      <c r="N14" s="45"/>
      <c r="O14" s="42"/>
    </row>
    <row r="15" spans="1:15" s="43" customFormat="1" ht="39.6" x14ac:dyDescent="0.25">
      <c r="A15" s="76">
        <v>14</v>
      </c>
      <c r="B15" s="86" t="s">
        <v>72</v>
      </c>
      <c r="C15" s="81" t="s">
        <v>73</v>
      </c>
      <c r="D15" s="81" t="s">
        <v>74</v>
      </c>
      <c r="E15" s="81" t="s">
        <v>75</v>
      </c>
      <c r="F15" s="87" t="s">
        <v>86</v>
      </c>
      <c r="G15" s="81" t="s">
        <v>77</v>
      </c>
      <c r="H15" s="84" t="s">
        <v>67</v>
      </c>
      <c r="I15" s="84" t="s">
        <v>68</v>
      </c>
      <c r="J15" s="108">
        <f t="shared" si="0"/>
        <v>10</v>
      </c>
      <c r="K15" s="37"/>
      <c r="L15" s="44" t="s">
        <v>171</v>
      </c>
      <c r="M15" s="37"/>
      <c r="N15" s="45"/>
      <c r="O15" s="42"/>
    </row>
    <row r="16" spans="1:15" s="43" customFormat="1" ht="66" x14ac:dyDescent="0.25">
      <c r="A16" s="76">
        <v>15</v>
      </c>
      <c r="B16" s="86" t="s">
        <v>72</v>
      </c>
      <c r="C16" s="88" t="s">
        <v>87</v>
      </c>
      <c r="D16" s="88" t="s">
        <v>88</v>
      </c>
      <c r="E16" s="81" t="s">
        <v>89</v>
      </c>
      <c r="F16" s="89" t="s">
        <v>90</v>
      </c>
      <c r="G16" s="83" t="s">
        <v>91</v>
      </c>
      <c r="H16" s="85" t="s">
        <v>67</v>
      </c>
      <c r="I16" s="85" t="s">
        <v>68</v>
      </c>
      <c r="J16" s="109">
        <f>IF(H16="NA","NA",IF(H16="YES",10,0))</f>
        <v>10</v>
      </c>
      <c r="K16" s="47" t="s">
        <v>92</v>
      </c>
      <c r="L16" s="48" t="s">
        <v>171</v>
      </c>
      <c r="M16" s="37"/>
      <c r="N16" s="45"/>
      <c r="O16" s="42"/>
    </row>
    <row r="17" spans="1:17" s="43" customFormat="1" ht="39.6" x14ac:dyDescent="0.25">
      <c r="A17" s="76">
        <v>16</v>
      </c>
      <c r="B17" s="90" t="s">
        <v>93</v>
      </c>
      <c r="C17" s="81" t="s">
        <v>94</v>
      </c>
      <c r="D17" s="81" t="s">
        <v>63</v>
      </c>
      <c r="E17" s="81" t="s">
        <v>95</v>
      </c>
      <c r="F17" s="81" t="s">
        <v>96</v>
      </c>
      <c r="G17" s="91" t="s">
        <v>97</v>
      </c>
      <c r="H17" s="84" t="s">
        <v>67</v>
      </c>
      <c r="I17" s="84" t="s">
        <v>68</v>
      </c>
      <c r="J17" s="108">
        <f>IF(H17="NA","NA",IF(H17="Yes",10,IF(I17=1,-5,-10)))</f>
        <v>10</v>
      </c>
      <c r="K17" s="37"/>
      <c r="L17" s="48" t="s">
        <v>183</v>
      </c>
      <c r="M17" s="37"/>
      <c r="N17" s="45"/>
      <c r="O17" s="42"/>
    </row>
    <row r="18" spans="1:17" s="43" customFormat="1" ht="39.6" x14ac:dyDescent="0.25">
      <c r="A18" s="76">
        <v>17</v>
      </c>
      <c r="B18" s="86" t="s">
        <v>98</v>
      </c>
      <c r="C18" s="92" t="s">
        <v>99</v>
      </c>
      <c r="D18" s="92" t="s">
        <v>63</v>
      </c>
      <c r="E18" s="92" t="s">
        <v>100</v>
      </c>
      <c r="F18" s="92" t="s">
        <v>101</v>
      </c>
      <c r="G18" s="93" t="s">
        <v>102</v>
      </c>
      <c r="H18" s="94" t="s">
        <v>67</v>
      </c>
      <c r="I18" s="94" t="s">
        <v>68</v>
      </c>
      <c r="J18" s="110">
        <f>IF(H18="NA","NA",IF(H18="Yes",10,IF(I18=1,-5,IF(I18=2,-10,IF(I18=3,-15,-20)))))</f>
        <v>10</v>
      </c>
      <c r="K18" s="49" t="s">
        <v>103</v>
      </c>
      <c r="L18" s="48" t="s">
        <v>183</v>
      </c>
      <c r="M18" s="49"/>
      <c r="N18" s="50"/>
      <c r="O18" s="51"/>
    </row>
    <row r="19" spans="1:17" s="43" customFormat="1" ht="52.8" x14ac:dyDescent="0.25">
      <c r="A19" s="76">
        <v>18</v>
      </c>
      <c r="B19" s="90" t="s">
        <v>98</v>
      </c>
      <c r="C19" s="81" t="s">
        <v>104</v>
      </c>
      <c r="D19" s="81" t="s">
        <v>74</v>
      </c>
      <c r="F19" s="115" t="s">
        <v>105</v>
      </c>
      <c r="G19" s="93" t="s">
        <v>102</v>
      </c>
      <c r="H19" s="94" t="s">
        <v>67</v>
      </c>
      <c r="I19" s="94" t="s">
        <v>68</v>
      </c>
      <c r="J19" s="110">
        <f>IF(H19="NA","NA",IF(H19="Yes",10,IF(I19=1,-5,IF(I19=2,-10,IF(I19=3,-15,-20)))))</f>
        <v>10</v>
      </c>
      <c r="K19" s="49" t="s">
        <v>103</v>
      </c>
      <c r="L19" s="52" t="s">
        <v>172</v>
      </c>
      <c r="M19" s="37"/>
      <c r="N19" s="45"/>
      <c r="O19" s="42"/>
    </row>
    <row r="20" spans="1:17" s="58" customFormat="1" x14ac:dyDescent="0.25">
      <c r="A20" s="77" t="s">
        <v>33</v>
      </c>
      <c r="B20" s="95"/>
      <c r="C20" s="95"/>
      <c r="D20" s="95"/>
      <c r="E20" s="95" t="s">
        <v>106</v>
      </c>
      <c r="F20" s="95"/>
      <c r="G20" s="95"/>
      <c r="H20" s="96"/>
      <c r="I20" s="95"/>
      <c r="J20" s="111">
        <f>(SUM(J2:J19)/(COUNT(J2:J19)*10)*40)</f>
        <v>40</v>
      </c>
      <c r="K20" s="53"/>
      <c r="L20" s="54"/>
      <c r="M20" s="53"/>
      <c r="N20" s="55"/>
      <c r="O20" s="56"/>
      <c r="P20" s="57"/>
      <c r="Q20" s="57"/>
    </row>
    <row r="21" spans="1:17" s="43" customFormat="1" ht="66" x14ac:dyDescent="0.25">
      <c r="A21" s="76">
        <v>19</v>
      </c>
      <c r="B21" s="97" t="s">
        <v>94</v>
      </c>
      <c r="C21" s="81" t="s">
        <v>94</v>
      </c>
      <c r="D21" s="81" t="s">
        <v>63</v>
      </c>
      <c r="E21" s="98" t="s">
        <v>107</v>
      </c>
      <c r="F21" s="98" t="s">
        <v>108</v>
      </c>
      <c r="G21" s="81" t="s">
        <v>109</v>
      </c>
      <c r="H21" s="88" t="s">
        <v>67</v>
      </c>
      <c r="I21" s="99" t="s">
        <v>68</v>
      </c>
      <c r="J21" s="109">
        <f>IF(H21="NA","NA",IF(H21="Yes",10,0))</f>
        <v>10</v>
      </c>
      <c r="K21" s="46" t="s">
        <v>110</v>
      </c>
      <c r="L21" s="40" t="s">
        <v>184</v>
      </c>
      <c r="M21" s="40"/>
      <c r="N21" s="41"/>
      <c r="O21" s="42"/>
    </row>
    <row r="22" spans="1:17" s="43" customFormat="1" ht="52.8" x14ac:dyDescent="0.25">
      <c r="A22" s="76">
        <v>20</v>
      </c>
      <c r="B22" s="97" t="s">
        <v>94</v>
      </c>
      <c r="C22" s="81" t="s">
        <v>94</v>
      </c>
      <c r="D22" s="81" t="s">
        <v>74</v>
      </c>
      <c r="E22" s="98" t="s">
        <v>111</v>
      </c>
      <c r="F22" s="116" t="s">
        <v>111</v>
      </c>
      <c r="G22" s="81" t="s">
        <v>109</v>
      </c>
      <c r="H22" s="88" t="s">
        <v>67</v>
      </c>
      <c r="I22" s="99" t="s">
        <v>68</v>
      </c>
      <c r="J22" s="109">
        <f>IF(H22="NA","NA",IF(H22="Yes",10,0))</f>
        <v>10</v>
      </c>
      <c r="K22" s="46"/>
      <c r="L22" s="40" t="s">
        <v>185</v>
      </c>
      <c r="M22" s="40"/>
      <c r="N22" s="41"/>
      <c r="O22" s="42"/>
    </row>
    <row r="23" spans="1:17" s="43" customFormat="1" ht="39.6" x14ac:dyDescent="0.25">
      <c r="A23" s="76">
        <v>21</v>
      </c>
      <c r="B23" s="97" t="s">
        <v>94</v>
      </c>
      <c r="C23" s="81" t="s">
        <v>112</v>
      </c>
      <c r="D23" s="81" t="s">
        <v>63</v>
      </c>
      <c r="E23" s="81" t="s">
        <v>113</v>
      </c>
      <c r="F23" s="115" t="s">
        <v>113</v>
      </c>
      <c r="G23" s="100" t="s">
        <v>114</v>
      </c>
      <c r="H23" s="85" t="s">
        <v>67</v>
      </c>
      <c r="I23" s="85" t="s">
        <v>68</v>
      </c>
      <c r="J23" s="109">
        <f>IF(H23="NA","NA",IF(H23="Yes",10,IF(I23=1,8,IF(I23=2,6,IF(I23=3,4,IF(I23=4,2,0))))))</f>
        <v>10</v>
      </c>
      <c r="K23" s="46"/>
      <c r="L23" s="48" t="s">
        <v>183</v>
      </c>
      <c r="M23" s="40"/>
      <c r="N23" s="41"/>
      <c r="O23" s="42"/>
    </row>
    <row r="24" spans="1:17" s="43" customFormat="1" ht="39.6" x14ac:dyDescent="0.25">
      <c r="A24" s="76">
        <v>22</v>
      </c>
      <c r="B24" s="97" t="s">
        <v>94</v>
      </c>
      <c r="C24" s="81" t="s">
        <v>112</v>
      </c>
      <c r="D24" s="81" t="s">
        <v>74</v>
      </c>
      <c r="E24" s="81" t="s">
        <v>115</v>
      </c>
      <c r="F24" s="115" t="s">
        <v>115</v>
      </c>
      <c r="G24" s="100" t="s">
        <v>114</v>
      </c>
      <c r="H24" s="85" t="s">
        <v>67</v>
      </c>
      <c r="I24" s="85" t="s">
        <v>68</v>
      </c>
      <c r="J24" s="109">
        <f>IF(H24="NA","NA",IF(H24="Yes",10,IF(I24=1,8,IF(I24=2,6,IF(I24=3,4,IF(I24=4,2,0))))))</f>
        <v>10</v>
      </c>
      <c r="K24" s="46"/>
      <c r="L24" s="48" t="s">
        <v>183</v>
      </c>
      <c r="M24" s="40"/>
      <c r="N24" s="41"/>
      <c r="O24" s="42"/>
    </row>
    <row r="25" spans="1:17" s="43" customFormat="1" ht="66" x14ac:dyDescent="0.25">
      <c r="A25" s="76">
        <v>23</v>
      </c>
      <c r="B25" s="97" t="s">
        <v>94</v>
      </c>
      <c r="C25" s="81" t="s">
        <v>116</v>
      </c>
      <c r="D25" s="81" t="s">
        <v>63</v>
      </c>
      <c r="E25" s="88" t="s">
        <v>117</v>
      </c>
      <c r="F25" s="117" t="s">
        <v>117</v>
      </c>
      <c r="G25" s="83" t="s">
        <v>118</v>
      </c>
      <c r="H25" s="85" t="s">
        <v>68</v>
      </c>
      <c r="I25" s="85" t="s">
        <v>68</v>
      </c>
      <c r="J25" s="108" t="str">
        <f>IF(H25="NA","NA",IF(H25="Yes",10,-10))</f>
        <v>NA</v>
      </c>
      <c r="K25" s="46" t="s">
        <v>119</v>
      </c>
      <c r="L25" s="59" t="s">
        <v>172</v>
      </c>
      <c r="M25" s="59"/>
      <c r="N25" s="60"/>
      <c r="O25" s="42"/>
    </row>
    <row r="26" spans="1:17" s="58" customFormat="1" x14ac:dyDescent="0.25">
      <c r="A26" s="77" t="s">
        <v>39</v>
      </c>
      <c r="B26" s="95"/>
      <c r="C26" s="101"/>
      <c r="D26" s="101"/>
      <c r="E26" s="102" t="s">
        <v>106</v>
      </c>
      <c r="F26" s="102"/>
      <c r="G26" s="96"/>
      <c r="H26" s="96"/>
      <c r="I26" s="103"/>
      <c r="J26" s="111">
        <f>(SUM(J21:J25)/(COUNT(J21:J25)*10)*40)</f>
        <v>40</v>
      </c>
      <c r="K26" s="53"/>
      <c r="L26" s="62"/>
      <c r="M26" s="61"/>
      <c r="N26" s="63"/>
      <c r="O26" s="56"/>
      <c r="P26" s="57"/>
      <c r="Q26" s="57"/>
    </row>
    <row r="27" spans="1:17" s="66" customFormat="1" ht="39.6" x14ac:dyDescent="0.25">
      <c r="A27" s="78">
        <v>24</v>
      </c>
      <c r="B27" s="80" t="s">
        <v>24</v>
      </c>
      <c r="C27" s="92" t="s">
        <v>120</v>
      </c>
      <c r="D27" s="92" t="s">
        <v>63</v>
      </c>
      <c r="E27" s="92" t="s">
        <v>121</v>
      </c>
      <c r="F27" s="118" t="s">
        <v>121</v>
      </c>
      <c r="G27" s="104" t="s">
        <v>109</v>
      </c>
      <c r="H27" s="105" t="s">
        <v>67</v>
      </c>
      <c r="I27" s="106" t="s">
        <v>68</v>
      </c>
      <c r="J27" s="110">
        <f t="shared" ref="J27:J33" si="1">IF(H27="NA","NA",IF(H27="Yes",10,0))</f>
        <v>10</v>
      </c>
      <c r="K27" s="64" t="s">
        <v>122</v>
      </c>
      <c r="L27" s="65" t="s">
        <v>173</v>
      </c>
      <c r="M27" s="59"/>
      <c r="N27" s="60"/>
      <c r="O27" s="51"/>
      <c r="P27" s="43"/>
      <c r="Q27" s="43"/>
    </row>
    <row r="28" spans="1:17" s="66" customFormat="1" ht="66" x14ac:dyDescent="0.25">
      <c r="A28" s="76">
        <v>25</v>
      </c>
      <c r="B28" s="80" t="s">
        <v>24</v>
      </c>
      <c r="C28" s="92" t="s">
        <v>123</v>
      </c>
      <c r="D28" s="92" t="s">
        <v>74</v>
      </c>
      <c r="E28" s="107" t="s">
        <v>124</v>
      </c>
      <c r="F28" s="119" t="s">
        <v>124</v>
      </c>
      <c r="G28" s="104" t="s">
        <v>109</v>
      </c>
      <c r="H28" s="105" t="s">
        <v>67</v>
      </c>
      <c r="I28" s="106" t="s">
        <v>68</v>
      </c>
      <c r="J28" s="110">
        <f>IF(H28="NA","NA",IF(H28="Yes",10,0))</f>
        <v>10</v>
      </c>
      <c r="K28" s="64" t="s">
        <v>125</v>
      </c>
      <c r="L28" s="48" t="s">
        <v>183</v>
      </c>
      <c r="M28" s="59"/>
      <c r="N28" s="60"/>
      <c r="O28" s="51"/>
      <c r="P28" s="43"/>
      <c r="Q28" s="43"/>
    </row>
    <row r="29" spans="1:17" s="66" customFormat="1" ht="26.4" x14ac:dyDescent="0.25">
      <c r="A29" s="76">
        <v>26</v>
      </c>
      <c r="B29" s="80" t="s">
        <v>24</v>
      </c>
      <c r="C29" s="92" t="s">
        <v>126</v>
      </c>
      <c r="D29" s="92" t="s">
        <v>88</v>
      </c>
      <c r="E29" s="92" t="s">
        <v>127</v>
      </c>
      <c r="F29" s="118" t="s">
        <v>127</v>
      </c>
      <c r="G29" s="93" t="s">
        <v>109</v>
      </c>
      <c r="H29" s="105" t="s">
        <v>67</v>
      </c>
      <c r="I29" s="94" t="s">
        <v>68</v>
      </c>
      <c r="J29" s="110">
        <f t="shared" si="1"/>
        <v>10</v>
      </c>
      <c r="K29" s="64"/>
      <c r="L29" s="48" t="s">
        <v>187</v>
      </c>
      <c r="M29" s="59"/>
      <c r="N29" s="60"/>
      <c r="O29" s="51"/>
      <c r="P29" s="43"/>
      <c r="Q29" s="43"/>
    </row>
    <row r="30" spans="1:17" s="66" customFormat="1" ht="39.6" x14ac:dyDescent="0.25">
      <c r="A30" s="76">
        <v>27</v>
      </c>
      <c r="B30" s="80" t="s">
        <v>24</v>
      </c>
      <c r="C30" s="92" t="s">
        <v>128</v>
      </c>
      <c r="D30" s="92" t="s">
        <v>88</v>
      </c>
      <c r="E30" s="92" t="s">
        <v>129</v>
      </c>
      <c r="F30" s="118" t="s">
        <v>129</v>
      </c>
      <c r="G30" s="93" t="s">
        <v>109</v>
      </c>
      <c r="H30" s="94" t="s">
        <v>67</v>
      </c>
      <c r="I30" s="106" t="s">
        <v>68</v>
      </c>
      <c r="J30" s="110">
        <f>IF(H30="NA","NA",IF(H30="yes",10,0))</f>
        <v>10</v>
      </c>
      <c r="K30" s="64"/>
      <c r="L30" s="65" t="s">
        <v>174</v>
      </c>
      <c r="M30" s="59"/>
      <c r="N30" s="60"/>
      <c r="O30" s="51"/>
      <c r="P30" s="43"/>
      <c r="Q30" s="43"/>
    </row>
    <row r="31" spans="1:17" s="66" customFormat="1" ht="52.8" x14ac:dyDescent="0.25">
      <c r="A31" s="76">
        <v>28</v>
      </c>
      <c r="B31" s="80" t="s">
        <v>24</v>
      </c>
      <c r="C31" s="92" t="s">
        <v>130</v>
      </c>
      <c r="D31" s="92" t="s">
        <v>74</v>
      </c>
      <c r="E31" s="92" t="s">
        <v>131</v>
      </c>
      <c r="F31" s="118" t="s">
        <v>131</v>
      </c>
      <c r="G31" s="93" t="s">
        <v>109</v>
      </c>
      <c r="H31" s="94" t="s">
        <v>67</v>
      </c>
      <c r="I31" s="106" t="s">
        <v>68</v>
      </c>
      <c r="J31" s="110">
        <f>IF(H31="NA","NA",IF(H31="yes",10,0))</f>
        <v>10</v>
      </c>
      <c r="K31" s="64" t="s">
        <v>132</v>
      </c>
      <c r="L31" s="67" t="s">
        <v>175</v>
      </c>
      <c r="M31" s="59"/>
      <c r="N31" s="60"/>
      <c r="O31" s="51"/>
      <c r="P31" s="43"/>
      <c r="Q31" s="43"/>
    </row>
    <row r="32" spans="1:17" s="66" customFormat="1" ht="52.8" x14ac:dyDescent="0.25">
      <c r="A32" s="76">
        <v>29</v>
      </c>
      <c r="B32" s="80" t="s">
        <v>24</v>
      </c>
      <c r="C32" s="92" t="s">
        <v>133</v>
      </c>
      <c r="D32" s="92" t="s">
        <v>74</v>
      </c>
      <c r="E32" s="92" t="s">
        <v>134</v>
      </c>
      <c r="F32" s="118" t="s">
        <v>134</v>
      </c>
      <c r="G32" s="93" t="s">
        <v>109</v>
      </c>
      <c r="H32" s="94" t="s">
        <v>67</v>
      </c>
      <c r="I32" s="106" t="s">
        <v>68</v>
      </c>
      <c r="J32" s="110">
        <f t="shared" si="1"/>
        <v>10</v>
      </c>
      <c r="K32" s="49" t="s">
        <v>135</v>
      </c>
      <c r="L32" s="67" t="s">
        <v>186</v>
      </c>
      <c r="M32" s="59"/>
      <c r="N32" s="60"/>
      <c r="O32" s="51"/>
      <c r="P32" s="43"/>
      <c r="Q32" s="43"/>
    </row>
    <row r="33" spans="1:17" s="66" customFormat="1" ht="26.4" x14ac:dyDescent="0.25">
      <c r="A33" s="76">
        <v>30</v>
      </c>
      <c r="B33" s="80" t="s">
        <v>24</v>
      </c>
      <c r="C33" s="92" t="s">
        <v>136</v>
      </c>
      <c r="D33" s="92" t="s">
        <v>74</v>
      </c>
      <c r="E33" s="92" t="s">
        <v>137</v>
      </c>
      <c r="F33" s="118" t="s">
        <v>137</v>
      </c>
      <c r="G33" s="104" t="s">
        <v>138</v>
      </c>
      <c r="H33" s="105" t="s">
        <v>67</v>
      </c>
      <c r="I33" s="106" t="s">
        <v>68</v>
      </c>
      <c r="J33" s="110">
        <f t="shared" si="1"/>
        <v>10</v>
      </c>
      <c r="K33" s="49" t="s">
        <v>139</v>
      </c>
      <c r="L33" s="67" t="s">
        <v>176</v>
      </c>
      <c r="M33" s="37"/>
      <c r="N33" s="45"/>
      <c r="O33" s="51"/>
      <c r="P33" s="43"/>
      <c r="Q33" s="43"/>
    </row>
    <row r="34" spans="1:17" s="66" customFormat="1" ht="26.4" x14ac:dyDescent="0.25">
      <c r="A34" s="76">
        <v>31</v>
      </c>
      <c r="B34" s="80" t="s">
        <v>24</v>
      </c>
      <c r="C34" s="92" t="s">
        <v>140</v>
      </c>
      <c r="D34" s="92" t="s">
        <v>74</v>
      </c>
      <c r="E34" s="105" t="s">
        <v>141</v>
      </c>
      <c r="F34" s="120" t="s">
        <v>141</v>
      </c>
      <c r="G34" s="104" t="s">
        <v>142</v>
      </c>
      <c r="H34" s="105" t="s">
        <v>67</v>
      </c>
      <c r="I34" s="106" t="s">
        <v>68</v>
      </c>
      <c r="J34" s="112">
        <f>IF(H34="NA","NA",IF(H34="Critical",-10,IF(H34="Yes",10,IF(I34=1,-2,IF(I34=2,-4,IF(I34=3,-6,IF(I34=4,-8,-10)))))))</f>
        <v>10</v>
      </c>
      <c r="K34" s="49"/>
      <c r="L34" s="68" t="s">
        <v>177</v>
      </c>
      <c r="M34" s="59"/>
      <c r="N34" s="60"/>
      <c r="O34" s="51"/>
      <c r="P34" s="43"/>
      <c r="Q34" s="43"/>
    </row>
    <row r="35" spans="1:17" s="66" customFormat="1" ht="26.4" x14ac:dyDescent="0.25">
      <c r="A35" s="76">
        <v>32</v>
      </c>
      <c r="B35" s="86" t="s">
        <v>24</v>
      </c>
      <c r="C35" s="92" t="s">
        <v>143</v>
      </c>
      <c r="D35" s="92" t="s">
        <v>74</v>
      </c>
      <c r="E35" s="92" t="s">
        <v>144</v>
      </c>
      <c r="F35" s="118" t="s">
        <v>144</v>
      </c>
      <c r="G35" s="92"/>
      <c r="H35" s="92" t="s">
        <v>68</v>
      </c>
      <c r="I35" s="92" t="s">
        <v>68</v>
      </c>
      <c r="J35" s="113" t="s">
        <v>68</v>
      </c>
      <c r="K35" s="49"/>
      <c r="L35" s="65" t="s">
        <v>178</v>
      </c>
      <c r="M35" s="59"/>
      <c r="N35" s="60"/>
      <c r="O35" s="51"/>
      <c r="P35" s="43"/>
      <c r="Q35" s="43"/>
    </row>
    <row r="36" spans="1:17" s="58" customFormat="1" ht="14.4" thickBot="1" x14ac:dyDescent="0.3">
      <c r="A36" s="79" t="s">
        <v>45</v>
      </c>
      <c r="B36" s="69"/>
      <c r="C36" s="69"/>
      <c r="D36" s="69"/>
      <c r="E36" s="69" t="s">
        <v>106</v>
      </c>
      <c r="F36" s="69"/>
      <c r="G36" s="69"/>
      <c r="H36" s="70"/>
      <c r="I36" s="70"/>
      <c r="J36" s="114">
        <f>(SUM(J27:J35)/(COUNT(J27:J35)*10)*20)</f>
        <v>20</v>
      </c>
      <c r="K36" s="71"/>
      <c r="L36" s="69"/>
      <c r="M36" s="69"/>
      <c r="N36" s="72"/>
      <c r="O36" s="73"/>
    </row>
    <row r="38" spans="1:17" x14ac:dyDescent="0.25">
      <c r="L38" s="75"/>
      <c r="M38" s="75"/>
      <c r="N38" s="75"/>
    </row>
  </sheetData>
  <dataValidations count="10">
    <dataValidation type="list" operator="equal" showInputMessage="1" showErrorMessage="1" error="Invalid Entry." prompt="Pls select from drop down menu only." sqref="I36 I17 I6:I15 I27:I28 I30:I34" xr:uid="{595618C4-EC88-4CB7-A5D7-1A0E48DE0094}">
      <formula1>"1,2,3,4,&gt;4,NA"</formula1>
      <formula2>0</formula2>
    </dataValidation>
    <dataValidation type="list" operator="equal" showInputMessage="1" showErrorMessage="1" error="Invalid Entry" prompt="Please select from the drop down menu only." sqref="H30:H32 H16 H21:H22" xr:uid="{9C9588CA-2D6F-4A56-8DD2-3F2A3C100859}">
      <formula1>"Yes,No,NA"</formula1>
    </dataValidation>
    <dataValidation type="list" operator="equal" showInputMessage="1" showErrorMessage="1" errorTitle="Invaild Entry." prompt="Pls select from drop down menu only." sqref="H36 G26 H23:H25 H33 H27:H29 H20 H6:H15" xr:uid="{185C58AC-4AEF-4A88-BE97-9B84056DFDBE}">
      <formula1>"Yes,No,NA"</formula1>
      <formula2>0</formula2>
    </dataValidation>
    <dataValidation type="list" operator="equal" showInputMessage="1" showErrorMessage="1" errorTitle="Invaild Entry." prompt="Pls select from drop down menu only." sqref="H34" xr:uid="{151EEF6C-303C-44FB-9999-545BDC2FDF50}">
      <formula1>"Yes,No,Critical,NA"</formula1>
      <formula2>0</formula2>
    </dataValidation>
    <dataValidation type="list" operator="equal" allowBlank="1" showInputMessage="1" showErrorMessage="1" error="Invalid Entry" prompt="Please select from the drop down menu only." sqref="H26 I21:I25" xr:uid="{F255467D-EF35-40FB-A83F-D42141E670A9}">
      <formula1>"1,2,3,4,&gt;4,NA"</formula1>
    </dataValidation>
    <dataValidation type="list" showInputMessage="1" showErrorMessage="1" error="Invalid Entry." prompt="Pls select from drop down menu only." sqref="I20" xr:uid="{5E359B6D-18F5-4717-A060-5A79380B9E72}">
      <formula1>"&lt;70%,NA"</formula1>
    </dataValidation>
    <dataValidation type="list" showInputMessage="1" showErrorMessage="1" errorTitle="Invaild Entry." prompt="Pls select from drop down menu only." sqref="H17:H19 H2:H5" xr:uid="{3CEEDE0B-5893-43EE-A7C2-3F17187B5A93}">
      <formula1>"Yes,No,NA"</formula1>
      <formula2>0</formula2>
    </dataValidation>
    <dataValidation type="list" allowBlank="1" showInputMessage="1" showErrorMessage="1" sqref="I2:I5" xr:uid="{9390B53B-B0D4-4002-997B-5EB45528C4F4}">
      <formula1>"1,2,3,4,&gt;4,NA"</formula1>
    </dataValidation>
    <dataValidation type="list" operator="equal" allowBlank="1" showInputMessage="1" showErrorMessage="1" error="Invalid Entry" prompt="Please select from the drop down menu only." sqref="I16" xr:uid="{3EAA6FEC-B70E-424D-9DA6-20261FC5FDE1}">
      <formula1>"1,2,3,4, &gt;4, NA"</formula1>
    </dataValidation>
    <dataValidation type="list" showInputMessage="1" showErrorMessage="1" error="Invalid Entry." prompt="Pls select from drop down menu only." sqref="I18:I19 I29" xr:uid="{EE7C49F0-DC87-46C5-AD9A-0AE99CB5A26A}">
      <formula1>"1,2,3,More than 3,NA"</formula1>
      <formula2>0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22AB-16D4-4166-B7FB-DF53DD5B0AF8}">
  <sheetPr codeName="Sheet4"/>
  <dimension ref="A1:AC7"/>
  <sheetViews>
    <sheetView zoomScale="90" zoomScaleNormal="90" workbookViewId="0">
      <selection activeCell="A85" sqref="A85"/>
    </sheetView>
  </sheetViews>
  <sheetFormatPr defaultColWidth="9" defaultRowHeight="13.8" x14ac:dyDescent="0.25"/>
  <cols>
    <col min="1" max="1" width="14" style="127" bestFit="1" customWidth="1"/>
    <col min="2" max="2" width="20.3984375" style="127" bestFit="1" customWidth="1"/>
    <col min="3" max="3" width="6.8984375" style="127" bestFit="1" customWidth="1"/>
    <col min="4" max="4" width="10" style="127" bestFit="1" customWidth="1"/>
    <col min="5" max="5" width="9.8984375" style="127" bestFit="1" customWidth="1"/>
    <col min="6" max="7" width="30.59765625" style="127" customWidth="1"/>
    <col min="8" max="8" width="56" style="127" customWidth="1"/>
    <col min="9" max="9" width="44.5" style="127" customWidth="1"/>
    <col min="10" max="10" width="16.59765625" style="127" bestFit="1" customWidth="1"/>
    <col min="11" max="11" width="15.5" style="127" bestFit="1" customWidth="1"/>
    <col min="12" max="12" width="28.3984375" style="127" bestFit="1" customWidth="1"/>
    <col min="13" max="13" width="15.19921875" style="127" bestFit="1" customWidth="1"/>
    <col min="14" max="14" width="11.69921875" style="127" bestFit="1" customWidth="1"/>
    <col min="15" max="15" width="12.69921875" style="127" bestFit="1" customWidth="1"/>
    <col min="16" max="16" width="10.8984375" style="127" bestFit="1" customWidth="1"/>
    <col min="17" max="17" width="14.19921875" style="127" bestFit="1" customWidth="1"/>
    <col min="18" max="18" width="16.69921875" style="127" bestFit="1" customWidth="1"/>
    <col min="19" max="19" width="17.59765625" style="127" bestFit="1" customWidth="1"/>
    <col min="20" max="20" width="20.5" style="127" bestFit="1" customWidth="1"/>
    <col min="21" max="21" width="20.09765625" style="127" bestFit="1" customWidth="1"/>
    <col min="22" max="22" width="16.5" style="127" bestFit="1" customWidth="1"/>
    <col min="23" max="23" width="18.69921875" style="127" bestFit="1" customWidth="1"/>
    <col min="24" max="24" width="27.19921875" style="127" bestFit="1" customWidth="1"/>
    <col min="25" max="25" width="26.5" style="127" bestFit="1" customWidth="1"/>
    <col min="26" max="26" width="16.69921875" style="127" bestFit="1" customWidth="1"/>
    <col min="27" max="27" width="20.19921875" style="127" bestFit="1" customWidth="1"/>
    <col min="28" max="28" width="23" style="127" bestFit="1" customWidth="1"/>
    <col min="29" max="16384" width="9" style="127"/>
  </cols>
  <sheetData>
    <row r="1" spans="1:29" s="123" customFormat="1" ht="14.4" thickBot="1" x14ac:dyDescent="0.35">
      <c r="A1" s="132" t="s">
        <v>191</v>
      </c>
      <c r="B1" s="121" t="s">
        <v>145</v>
      </c>
      <c r="C1" s="121" t="s">
        <v>146</v>
      </c>
      <c r="D1" s="121" t="s">
        <v>147</v>
      </c>
      <c r="E1" s="121" t="s">
        <v>148</v>
      </c>
      <c r="F1" s="121" t="s">
        <v>149</v>
      </c>
      <c r="G1" s="121" t="s">
        <v>9</v>
      </c>
      <c r="H1" s="121" t="s">
        <v>150</v>
      </c>
      <c r="I1" s="121" t="s">
        <v>57</v>
      </c>
      <c r="J1" s="121" t="s">
        <v>151</v>
      </c>
      <c r="K1" s="121" t="s">
        <v>152</v>
      </c>
      <c r="L1" s="121" t="s">
        <v>153</v>
      </c>
      <c r="M1" s="121" t="s">
        <v>154</v>
      </c>
      <c r="N1" s="121" t="s">
        <v>155</v>
      </c>
      <c r="O1" s="121" t="s">
        <v>156</v>
      </c>
      <c r="P1" s="121" t="s">
        <v>157</v>
      </c>
      <c r="Q1" s="122" t="s">
        <v>158</v>
      </c>
      <c r="R1" s="121" t="s">
        <v>159</v>
      </c>
      <c r="S1" s="121" t="s">
        <v>160</v>
      </c>
      <c r="T1" s="121" t="s">
        <v>161</v>
      </c>
      <c r="U1" s="121" t="s">
        <v>162</v>
      </c>
      <c r="V1" s="121" t="s">
        <v>163</v>
      </c>
      <c r="W1" s="121" t="s">
        <v>164</v>
      </c>
      <c r="X1" s="121" t="s">
        <v>165</v>
      </c>
      <c r="Y1" s="121" t="s">
        <v>166</v>
      </c>
      <c r="Z1" s="121" t="s">
        <v>167</v>
      </c>
      <c r="AA1" s="121" t="s">
        <v>168</v>
      </c>
      <c r="AB1" s="121" t="s">
        <v>169</v>
      </c>
      <c r="AC1" s="121" t="s">
        <v>170</v>
      </c>
    </row>
    <row r="2" spans="1:29" x14ac:dyDescent="0.25">
      <c r="A2" s="124"/>
      <c r="B2" s="12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3" spans="1:29" x14ac:dyDescent="0.25">
      <c r="A3" s="124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6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</row>
    <row r="4" spans="1:29" x14ac:dyDescent="0.25">
      <c r="A4" s="124"/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6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</row>
    <row r="5" spans="1:29" x14ac:dyDescent="0.25">
      <c r="A5" s="124"/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6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</row>
    <row r="6" spans="1:29" x14ac:dyDescent="0.25">
      <c r="A6" s="124"/>
      <c r="B6" s="124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6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</row>
    <row r="7" spans="1:29" x14ac:dyDescent="0.25">
      <c r="A7" s="124"/>
      <c r="B7" s="124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6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</vt:lpstr>
      <vt:lpstr>Agency</vt:lpstr>
      <vt:lpstr>KAF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Rachit Goyal</cp:lastModifiedBy>
  <dcterms:created xsi:type="dcterms:W3CDTF">2026-03-12T14:52:26Z</dcterms:created>
  <dcterms:modified xsi:type="dcterms:W3CDTF">2026-06-27T09:37:04Z</dcterms:modified>
</cp:coreProperties>
</file>