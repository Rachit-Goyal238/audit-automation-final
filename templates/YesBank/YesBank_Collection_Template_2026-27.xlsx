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chit Goyal\Downloads\audit-report-generator\templates\YesBank\"/>
    </mc:Choice>
  </mc:AlternateContent>
  <xr:revisionPtr revIDLastSave="0" documentId="13_ncr:1_{18A60D0A-D72C-426E-94E8-AB69134BD80D}" xr6:coauthVersionLast="47" xr6:coauthVersionMax="47" xr10:uidLastSave="{00000000-0000-0000-0000-000000000000}"/>
  <bookViews>
    <workbookView xWindow="-108" yWindow="-108" windowWidth="23256" windowHeight="12456" xr2:uid="{E366AD21-7E7D-48B4-B5AD-0A6D4540711A}"/>
  </bookViews>
  <sheets>
    <sheet name="Rating" sheetId="1" r:id="rId1"/>
    <sheet name="Agency" sheetId="2" r:id="rId2"/>
    <sheet name="KAF" sheetId="3" r:id="rId3"/>
    <sheet name="Annexure 1" sheetId="4" r:id="rId4"/>
    <sheet name="Annexure 2" sheetId="5" r:id="rId5"/>
    <sheet name="Anexure 3" sheetId="6" r:id="rId6"/>
    <sheet name="Annexure-4" sheetId="7" r:id="rId7"/>
    <sheet name="Annexure-5" sheetId="8" r:id="rId8"/>
  </sheets>
  <definedNames>
    <definedName name="_xlnm._FilterDatabase" localSheetId="1" hidden="1">Agency!$A$1:$O$69</definedName>
    <definedName name="_xlnm._FilterDatabase" localSheetId="6" hidden="1">'Annexure-4'!$A$3:$D$3</definedName>
    <definedName name="_xlnm._FilterDatabase" localSheetId="2" hidden="1">KAF!$B$1:$AC$1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2" l="1"/>
  <c r="J20" i="2"/>
  <c r="J23" i="2"/>
  <c r="J22" i="2"/>
  <c r="J24" i="2"/>
  <c r="J33" i="2"/>
  <c r="J67" i="2"/>
  <c r="J66" i="2"/>
  <c r="J65" i="2"/>
  <c r="J64" i="2"/>
  <c r="J63" i="2"/>
  <c r="J62" i="2"/>
  <c r="J60" i="2"/>
  <c r="J59" i="2"/>
  <c r="J57" i="2"/>
  <c r="J56" i="2"/>
  <c r="J55" i="2"/>
  <c r="J54" i="2"/>
  <c r="J53" i="2"/>
  <c r="J52" i="2"/>
  <c r="J51" i="2"/>
  <c r="J50" i="2"/>
  <c r="J49" i="2"/>
  <c r="J48" i="2"/>
  <c r="J46" i="2"/>
  <c r="J45" i="2"/>
  <c r="J44" i="2"/>
  <c r="J43" i="2"/>
  <c r="J42" i="2"/>
  <c r="J41" i="2"/>
  <c r="J40" i="2"/>
  <c r="J39" i="2"/>
  <c r="J38" i="2"/>
  <c r="J37" i="2"/>
  <c r="J36" i="2"/>
  <c r="J35" i="2"/>
  <c r="J34" i="2"/>
  <c r="J32" i="2"/>
  <c r="J31" i="2"/>
  <c r="J30" i="2"/>
  <c r="J28" i="2"/>
  <c r="J27" i="2"/>
  <c r="J26" i="2"/>
  <c r="J25" i="2"/>
  <c r="J19" i="2"/>
  <c r="J18" i="2"/>
  <c r="J17" i="2"/>
  <c r="J16" i="2"/>
  <c r="J15" i="2"/>
  <c r="J14" i="2"/>
  <c r="J13" i="2"/>
  <c r="J12" i="2"/>
  <c r="J11" i="2"/>
  <c r="J10" i="2"/>
  <c r="J9" i="2"/>
  <c r="J8" i="2"/>
  <c r="J7" i="2"/>
  <c r="J6" i="2"/>
  <c r="J5" i="2"/>
  <c r="J4" i="2"/>
  <c r="J3" i="2"/>
  <c r="J2" i="2"/>
  <c r="D21" i="1"/>
  <c r="J47" i="2" l="1"/>
  <c r="J29" i="2"/>
  <c r="J61" i="2"/>
  <c r="J69" i="2"/>
  <c r="J58" i="2"/>
  <c r="C20" i="1" l="1"/>
  <c r="E20" i="1" s="1"/>
  <c r="C18" i="1"/>
  <c r="E18" i="1" s="1"/>
  <c r="C19" i="1"/>
  <c r="E19" i="1" s="1"/>
  <c r="C17" i="1"/>
  <c r="C16" i="1"/>
  <c r="E16" i="1" s="1"/>
  <c r="C21" i="1" l="1"/>
  <c r="E21" i="1" s="1"/>
  <c r="F21" i="1" s="1"/>
  <c r="C22" i="1" s="1"/>
  <c r="E17" i="1"/>
</calcChain>
</file>

<file path=xl/sharedStrings.xml><?xml version="1.0" encoding="utf-8"?>
<sst xmlns="http://schemas.openxmlformats.org/spreadsheetml/2006/main" count="742" uniqueCount="315">
  <si>
    <t>YES Bank Collection Agency Audit</t>
  </si>
  <si>
    <t>Version</t>
  </si>
  <si>
    <t>Ver.2</t>
  </si>
  <si>
    <t>Agency Name</t>
  </si>
  <si>
    <t>Agency Location</t>
  </si>
  <si>
    <t>Agency Address</t>
  </si>
  <si>
    <t xml:space="preserve"> </t>
  </si>
  <si>
    <t>Audit Date</t>
  </si>
  <si>
    <t>Audit Period</t>
  </si>
  <si>
    <t>Audit Firm Name</t>
  </si>
  <si>
    <t>CM Name</t>
  </si>
  <si>
    <t>CCL Name</t>
  </si>
  <si>
    <t>Auditor Name/Contact#</t>
  </si>
  <si>
    <t>CM Employee ID</t>
  </si>
  <si>
    <t>CCL Employee ID</t>
  </si>
  <si>
    <t>Products for which agency does collections</t>
  </si>
  <si>
    <t>Agency person with whom the discussion were held</t>
  </si>
  <si>
    <t>Agency Audit Score</t>
  </si>
  <si>
    <t xml:space="preserve">Final Audit Score </t>
  </si>
  <si>
    <t>Actual</t>
  </si>
  <si>
    <t>Weightage</t>
  </si>
  <si>
    <t>Percantage</t>
  </si>
  <si>
    <t>Grade</t>
  </si>
  <si>
    <t>Blue book,Receipt Book and ID Card</t>
  </si>
  <si>
    <t>Allocation,Call Recording ,Target Letter &amp; Vendor Performance Report</t>
  </si>
  <si>
    <t>System Security</t>
  </si>
  <si>
    <t>Insurance, Shop Establishment Certificate and Code of conduct</t>
  </si>
  <si>
    <t>Infrastructure &amp; Other</t>
  </si>
  <si>
    <t>Total Score</t>
  </si>
  <si>
    <t>Final Rating on Agency Audit</t>
  </si>
  <si>
    <t>Scoring and Grade Matrix</t>
  </si>
  <si>
    <t>Score</t>
  </si>
  <si>
    <t>Performance</t>
  </si>
  <si>
    <t>A+</t>
  </si>
  <si>
    <t>Excellent</t>
  </si>
  <si>
    <t>90-99</t>
  </si>
  <si>
    <t>A</t>
  </si>
  <si>
    <t>Very Good</t>
  </si>
  <si>
    <t>80-89</t>
  </si>
  <si>
    <t>B+</t>
  </si>
  <si>
    <t>Good</t>
  </si>
  <si>
    <t>70-79</t>
  </si>
  <si>
    <t>B</t>
  </si>
  <si>
    <t>Satisfactory</t>
  </si>
  <si>
    <t>60-69</t>
  </si>
  <si>
    <t>C+</t>
  </si>
  <si>
    <t>Unsatisfactory</t>
  </si>
  <si>
    <t>59 and Below</t>
  </si>
  <si>
    <t>C</t>
  </si>
  <si>
    <t>Poor</t>
  </si>
  <si>
    <t>Sr. No.</t>
  </si>
  <si>
    <t>Main category</t>
  </si>
  <si>
    <t>Check points Category</t>
  </si>
  <si>
    <t>Risk Level</t>
  </si>
  <si>
    <t>Details to be checked</t>
  </si>
  <si>
    <t>Points to be checked</t>
  </si>
  <si>
    <t>Scoring Parameter</t>
  </si>
  <si>
    <t>Complied (Yes/No)</t>
  </si>
  <si>
    <t>No. of Errors</t>
  </si>
  <si>
    <t>Clarification</t>
  </si>
  <si>
    <t>Observations</t>
  </si>
  <si>
    <t>Revert from the CM</t>
  </si>
  <si>
    <t>Revert from the Auditor</t>
  </si>
  <si>
    <t>Annx.</t>
  </si>
  <si>
    <t>AGREEMENT COPY</t>
  </si>
  <si>
    <t>Agreement &amp; rate annexure</t>
  </si>
  <si>
    <t>High</t>
  </si>
  <si>
    <t>Whether the vendor agreement and the latest rate annexures maintained at the agency? 
Whether the Code of Conduct poster is displayed at the agency?</t>
  </si>
  <si>
    <t>1) Agreement has to be signed by both the parties i.e Bank and Agency.</t>
  </si>
  <si>
    <t>Done : 10 else : 0</t>
  </si>
  <si>
    <t>Yes</t>
  </si>
  <si>
    <t>NA</t>
  </si>
  <si>
    <t>Detailed observations needs to be updated here. And details of missing documents or any other pendency should be updated in the Annexure sheet</t>
  </si>
  <si>
    <t>2) If supplementary agreement the scope of work for Retails Collections needs to there.</t>
  </si>
  <si>
    <t>3) Latest rate annexure</t>
  </si>
  <si>
    <t>4) COC should be signed and displayed.</t>
  </si>
  <si>
    <t>BLUEBOOK</t>
  </si>
  <si>
    <t>Hygiene</t>
  </si>
  <si>
    <t xml:space="preserve">Whether blue book formats are filled completely &amp; correctly by the agencies .
</t>
  </si>
  <si>
    <t>1) Code of Conduct page should be signed by agency's owner.</t>
  </si>
  <si>
    <t>Done: 10 else 2 for each such case</t>
  </si>
  <si>
    <t>2) Declaration cum undertaking page owners/CP signature should be filled up in blue book.</t>
  </si>
  <si>
    <t>3)Data purging declaration should be filled up completely in blue book.</t>
  </si>
  <si>
    <t>4)Computer Declaration in Infrastructure  details should be filled properly.</t>
  </si>
  <si>
    <t>5)Telephone Declaration in Infrastructure  details should be filled up properly.</t>
  </si>
  <si>
    <t>6) Agency manpower register should be filled up properly and completely and ID card details should be matched with bank record.</t>
  </si>
  <si>
    <t>7) Receipt book issuance register should be filled up properly and completely and should be matched with bank record.</t>
  </si>
  <si>
    <t>8) Agency training tracker should be filled up by CP/RCM if training has been provided.</t>
  </si>
  <si>
    <t>9) Billing tracker should be filled up completely in Blue book.</t>
  </si>
  <si>
    <t>10) Repokit tracker should be filled up and matched with bank record applicable only for repo agency.</t>
  </si>
  <si>
    <t xml:space="preserve">Visitor Register </t>
  </si>
  <si>
    <t>Low</t>
  </si>
  <si>
    <t>Whether agency maintains visitor register in blue book at their office ? Also, check if Collection Partner (CP) / Regional Collection Manager (RCM) visiting the agency signs the visiting register maintained at the agency?</t>
  </si>
  <si>
    <t>1) Copy of visitor register needs to be  taken during audit.</t>
  </si>
  <si>
    <t>Register</t>
  </si>
  <si>
    <t>Medium</t>
  </si>
  <si>
    <t>1. Whether physical receipt books are issued to the agency.
2. Whether agency has maintained and  submitted the receipt reconciliation to the Bank?</t>
  </si>
  <si>
    <t>1) Please cross tally physical receipt book register maintained at agency with Central Team data?</t>
  </si>
  <si>
    <t>Done : 10 else : reduce 5 for each error</t>
  </si>
  <si>
    <t>2) Please check agency has maintained physical receipt book reconciliation statement if agency has used physical receipt book.Also cross check whrther agency has sent reconcillation statement to  bank on monthly basis via mail.</t>
  </si>
  <si>
    <t>RECEIPT BOOK</t>
  </si>
  <si>
    <t>1.Whether cash collected is deposited in Time?</t>
  </si>
  <si>
    <t>Please check receipt date and deposition date mentioned in receipt reconcillation MIS and also cross check batch id/hand off sheet/ CAPS Deposition Memo</t>
  </si>
  <si>
    <t>Done: 10 else: -2 for each case of deposition &gt;= 2 days  (without any justification)
Critical: -10 if delay&gt; 5days or any case of non deposition</t>
  </si>
  <si>
    <t>Agencies / In-house team should deposit the collected payments in designated our Bank branches within 24 hours of collection.</t>
  </si>
  <si>
    <t>Issuance</t>
  </si>
  <si>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</si>
  <si>
    <t>ID CARD</t>
  </si>
  <si>
    <t>ID card and Manpower</t>
  </si>
  <si>
    <t>Whether all the Field Executives are DRA certified and  have valid digital ID card issued by Yes Bank?</t>
  </si>
  <si>
    <t>1)ID card need to be generated live during audit visit and also take screenshots of all ID card isssued by bank.</t>
  </si>
  <si>
    <t>Done: 10 else: -2 for each case of 
non compliance</t>
  </si>
  <si>
    <t>DRA</t>
  </si>
  <si>
    <t>Telecaller</t>
  </si>
  <si>
    <t>Whether all Callers working in agency are DRA certified?</t>
  </si>
  <si>
    <t>Please take screenshots of all DRA certificate of Telecaller working for YBL.</t>
  </si>
  <si>
    <t>Whether all ID cards where executives have been resigned/terminated are submitted to CP/Central Processing Team and same has been updated in ID card tracker of bluebook or not?</t>
  </si>
  <si>
    <t>Sub-Total</t>
  </si>
  <si>
    <t>ALLOCATION</t>
  </si>
  <si>
    <t>Y CAPS</t>
  </si>
  <si>
    <t>Whether agency is using Y CAPS to download allocation and if they are able to download allocation cases on Y CAPS?
Whether  the allocation downloaded by CAPS is matching with the allocation sent by the Bank?</t>
  </si>
  <si>
    <t>1) Auditor should do live checking of Y CAPS Allocation download at the time of audit.</t>
  </si>
  <si>
    <t>2) Cross  tally allocation downloaded on caps with allocation available in system as well as allocation provided by Central team for audit purpose.</t>
  </si>
  <si>
    <t>Allocation mappin with ID Card</t>
  </si>
  <si>
    <t xml:space="preserve">Whether All allocations is allocated to Valid ID card holder person only?  </t>
  </si>
  <si>
    <t>Please check allocation file and cross check whether all cases have been mapped against valid ID card holder.Details should be captured if any discrepancy observed.</t>
  </si>
  <si>
    <t>Agency should follow M Caps app as digital drive for receipt recording i.e. used/unused/cancelled status of receipt
Agency should submit M Caps receipt cancellation documents to central team.</t>
  </si>
  <si>
    <t>Marc ID</t>
  </si>
  <si>
    <t>1) Whether agency is updating CAPS system for receipt recording i.e. used/unused/cancelled status of receipt?
2.Whether all the FOS has MCAPS ID’s and are active?</t>
  </si>
  <si>
    <t>Please do live checking related to trail updation and receipt making process.Screenshot of all FOS's Marc id is required.</t>
  </si>
  <si>
    <t>Trails</t>
  </si>
  <si>
    <t>Whether the agency is following up on the allocation sent by the Bank and If the allocation matches with the same sent by Bank?
How is pan India allocation managed if any agency has allocation for multiple locations?</t>
  </si>
  <si>
    <t>Calling feedback and visit feedback should be checked for all allocated cases to agency.</t>
  </si>
  <si>
    <t xml:space="preserve">Pls impact score if trails uploaded is &lt;70% or PTP is &gt;=98% </t>
  </si>
  <si>
    <t>Trails Updation in Y CAPS</t>
  </si>
  <si>
    <t>Whether 100% trails uploaded by agency  in Y CAPS for allocated cases for a particular month?
Whether all allocated cases have feedback?</t>
  </si>
  <si>
    <t>Please do live checking related to trail updation  process in Y CAPS.Also do sample checking of trail in CAPS</t>
  </si>
  <si>
    <t xml:space="preserve">Done : 10 else : 0
Critical: -10 if calling facility is not available </t>
  </si>
  <si>
    <t>CALL RECORDING</t>
  </si>
  <si>
    <t>Telephone Etiquette</t>
  </si>
  <si>
    <t>Whether telephone etiquette is followed in calls ? Also, check whether telecallers using pseudo names ?</t>
  </si>
  <si>
    <t>Please check sample calls for allocated cases and captured details in annexure.</t>
  </si>
  <si>
    <r>
      <t>All registered phone nos. should only be used for calling &amp; should have recording facility
In addition :</t>
    </r>
    <r>
      <rPr>
        <sz val="9"/>
        <rFont val="Book Antiqua"/>
        <family val="1"/>
      </rPr>
      <t xml:space="preserve">
1. Agency should not confirm the settlement amount to the customer, it subject should be subject to approval 
2. Any rude call / harsh tone (like abusive language used) during the call
3. Any impersonation by caller / FOS as police / lawyer / media etc.,
</t>
    </r>
  </si>
  <si>
    <t>Call Recording Data</t>
  </si>
  <si>
    <t>Whether Call recording facility available at the agency &amp; 100% call recordings were done ?</t>
  </si>
  <si>
    <t>1)Call recording instrumet should be available at agency and it should be in working condition.</t>
  </si>
  <si>
    <t xml:space="preserve">Done : 10 else : -2 for each month </t>
  </si>
  <si>
    <t>2) Live calling should be checked at the time of agency visit.</t>
  </si>
  <si>
    <t>3 )Customers are contacted only between  8 am to 7 pm . In case of deviations same is to be highlighted in the audit observations</t>
  </si>
  <si>
    <t>4) Call intensity  to be checked for allocated cases.</t>
  </si>
  <si>
    <t>Whether call recording data is maintained for minimum 12 months by the agencies ? Also, check whether agencies have back-up of the call recording data.
Please check Total no of calls made across portfolio in audit period.</t>
  </si>
  <si>
    <t>Please make annexure for calling counts in audit period.</t>
  </si>
  <si>
    <t>Done : 10 else : reduce 1 each error
Critical: -10 if not documented</t>
  </si>
  <si>
    <r>
      <t xml:space="preserve">In addition :
</t>
    </r>
    <r>
      <rPr>
        <sz val="9"/>
        <rFont val="Book Antiqua"/>
        <family val="1"/>
      </rPr>
      <t>1. Pls check that the agency should be able to retrieve call recordings within 20 mins.</t>
    </r>
  </si>
  <si>
    <t>TARGETSETTING LETTER</t>
  </si>
  <si>
    <t>TargetSetting letter</t>
  </si>
  <si>
    <t>Whether Target setting letters are documented with complete &amp; correct details?</t>
  </si>
  <si>
    <t>1)Please check count of cases mentioned in target letter and cross check with count of llocation as per bank record for the period mentioned on target setting letter.</t>
  </si>
  <si>
    <t>Target setting letter of a particular month should be documented by 5th of same month.</t>
  </si>
  <si>
    <t>2) Please check agency sign and stamp along with CP sign on target letter.</t>
  </si>
  <si>
    <t>VENDOR PERFORMANCE REPORT</t>
  </si>
  <si>
    <t>Vendor Performance Report</t>
  </si>
  <si>
    <t>Whether monthly vendor performance review is documented with complete &amp; correct details &amp; preventive measures have been taken by agency based on review ?</t>
  </si>
  <si>
    <t>1)Please check No. of cases,POS value with bank data and target resolution,Normalization,Roll back with Month end status file shared by CP.</t>
  </si>
  <si>
    <r>
      <t>Pls check for VEF submitted on or before 15th of the month,</t>
    </r>
    <r>
      <rPr>
        <sz val="9"/>
        <rFont val="Book Antiqua"/>
        <family val="1"/>
      </rPr>
      <t xml:space="preserve">
Pls cross check the declaration &amp; documentation by the CP regarding call recording facility, trails upload, Data purging etc.</t>
    </r>
  </si>
  <si>
    <t>SYSTEM &amp; SECURITY</t>
  </si>
  <si>
    <t>Data security</t>
  </si>
  <si>
    <t>Whether any agency found not complied to USB/CD/Floppy drive active for data transfer ?</t>
  </si>
  <si>
    <t>Data Cable access should be deactive for data transfer./USB Port should be  deactive for data transfer.</t>
  </si>
  <si>
    <t>Done 10, else -5 for each non-compliance</t>
  </si>
  <si>
    <t>USB/CD/floppy drive should not be active for data transfer</t>
  </si>
  <si>
    <t>Whether agency has purged data as per bank's policy ?</t>
  </si>
  <si>
    <r>
      <t xml:space="preserve">Auditor to check agency systems &amp; confirm :
All customer confidential data (which includes contact details, PAN number, email id, mother maiden name, bank account number etc.) is deleted </t>
    </r>
    <r>
      <rPr>
        <b/>
        <sz val="9"/>
        <rFont val="Book Antiqua"/>
        <family val="1"/>
      </rPr>
      <t xml:space="preserve">after 3 months.Agency has to maintain 4 months(Incluiding current month) demographic data of YBL.
</t>
    </r>
    <r>
      <rPr>
        <sz val="9"/>
        <rFont val="Book Antiqua"/>
        <family val="1"/>
      </rPr>
      <t xml:space="preserve">Pls also check if demographic detail of customers are available on mail.
</t>
    </r>
    <r>
      <rPr>
        <b/>
        <sz val="9"/>
        <rFont val="Book Antiqua"/>
        <family val="1"/>
      </rPr>
      <t xml:space="preserve">Physical data storage(Drawer,Cupboard etc) at agency to be checked during audit.
System data and SOA  shall be checked at agencies. </t>
    </r>
  </si>
  <si>
    <t>Done : 10 else : -10</t>
  </si>
  <si>
    <t>Whether e-mail &amp; printer access is available with executives ? Whether restricted access of Desktop / laptops/ Printers/ emails are enabled?</t>
  </si>
  <si>
    <t>1)E-mail and printer access should be given only on backend system only.</t>
  </si>
  <si>
    <t>2)Mail ID could not be shared with other organization</t>
  </si>
  <si>
    <t>3) Customer data access should be restricted for 3 months</t>
  </si>
  <si>
    <t>4)Unauthorized access should not be with agency executive</t>
  </si>
  <si>
    <t>5) Customer demog / financial details should only in password protected attachment &amp; not on the mail body.</t>
  </si>
  <si>
    <t>Whether any agency found not complied to other Data security / safety / privacy / sharing policy of the bank ?
Whether data shared through mail are password protected ?</t>
  </si>
  <si>
    <t>Anydesk , Team-viewer, Dropbox, whatsapp Application should not be installed on control panel.</t>
  </si>
  <si>
    <t>Agency preferably has to do white listing of email address such that emails can be sent only to authorized email id's, such as Yesbank.in domain. In absence of whitelisting of email address, agency should provide declaration for using the registered email id exclusively for Yesbank</t>
  </si>
  <si>
    <t>Data privacy</t>
  </si>
  <si>
    <t>Whether agency has email access through which customer data can be shared to any email id?Whether any commuication sent to  on unregistered mail ID by Agency ?
Has the agency done white listing of email address such that emails can be sent only to authorized email id's, such as YESBANK.IN</t>
  </si>
  <si>
    <t>No decalaration is accepted if agency is using any public domain id such as gmail,yahoo,etc.</t>
  </si>
  <si>
    <t>1. Customers info., documents, records &amp; assets of the bank is kept separately &amp; confidential
2. Also, pls check if any common folder or server access. In such case, the bank's data should be password protected
3. Common folder / server file access should only be available with authorized agency executives
4. Also, please check that labeling the PC / Laptop used for Yes Bank &amp; declaration in blue book.</t>
  </si>
  <si>
    <t>Whether separate system, place &amp; e-mail ID for Yes bank is provided?
Also, Check If the Yes Bank labeling is done on system used for Yes Bank and if declaration details are updated in the blue book</t>
  </si>
  <si>
    <t>INSURANCE</t>
  </si>
  <si>
    <t>Insurance Policy</t>
  </si>
  <si>
    <t>Whether Fidelity insurance(cash in transit &amp; cash in safe) is available at the Agency ? Is it Valid ?</t>
  </si>
  <si>
    <t>Please check insurance validity date,agency name and address on insurance copy</t>
  </si>
  <si>
    <t>SHOP ESTABLISHMENT CERTIFICATE</t>
  </si>
  <si>
    <t>Agency establishment</t>
  </si>
  <si>
    <t>Whether agencies have shop establishment certificate ?IF not check Declaration.</t>
  </si>
  <si>
    <t>Please check agency name and address mentioned on shop establishment copy.</t>
  </si>
  <si>
    <t>D</t>
  </si>
  <si>
    <t>INFRASTRUCTURE &amp; OTHER</t>
  </si>
  <si>
    <t>our bank's reference made on co's name board</t>
  </si>
  <si>
    <t>Has the agency made any reference to our Bank's name on the company's name board.?</t>
  </si>
  <si>
    <t>Pls also check whether the Infrastructure like PC / Laptop , document storage, FOS etc. are used exclusively for our Bank &amp; not mixed with others.</t>
  </si>
  <si>
    <t>Agency details update in ERP</t>
  </si>
  <si>
    <t>Whether agency's address &amp; phone number are correctly updated on YES BANK website.Www.yesbank.in/regulatory_policies</t>
  </si>
  <si>
    <t>Auditor to check on the web site and confirm .</t>
  </si>
  <si>
    <t xml:space="preserve">Bill </t>
  </si>
  <si>
    <t>Whether Copy of Monthly bill is available at agency? Is There Any Pending Bill ? (If Yes Mention Details).Billing to be checked as per pickup and collection agency payment Grid</t>
  </si>
  <si>
    <t>As per the Grid pickup and collection agency needs to be paid separetly</t>
  </si>
  <si>
    <t>No Dues Certificate related</t>
  </si>
  <si>
    <t>Whether NDC is provided by the agency for previous quarter bills that have been paid?Copy of NDC to be maintained with the agency</t>
  </si>
  <si>
    <t>As per process agency is required to give "No due certificate" for payout given to agency.</t>
  </si>
  <si>
    <t>Not cooperated with Auditor</t>
  </si>
  <si>
    <t>Whether full cooperation/complete &amp; timely data was received from agency for completing audit?</t>
  </si>
  <si>
    <t>Pls impact score if the agency pre-scheduled  &amp; intimated is cancelled on the day / a day before visit.</t>
  </si>
  <si>
    <t>Non compliance of last month's audit observation.</t>
  </si>
  <si>
    <t>Whether non-compliance reported in the previous period adhered to?</t>
  </si>
  <si>
    <t>As per audit observation</t>
  </si>
  <si>
    <t>Additional point</t>
  </si>
  <si>
    <t>Any other comment which Auditor wants to give</t>
  </si>
  <si>
    <t>E</t>
  </si>
  <si>
    <t>Main Category</t>
  </si>
  <si>
    <t>Check Points Category</t>
  </si>
  <si>
    <t>Zone</t>
  </si>
  <si>
    <t>State</t>
  </si>
  <si>
    <t>Location</t>
  </si>
  <si>
    <t>Employee ID</t>
  </si>
  <si>
    <t>Sub Remarks</t>
  </si>
  <si>
    <t>Loan Account No.</t>
  </si>
  <si>
    <t>Customer Name</t>
  </si>
  <si>
    <t>Vendor Name</t>
  </si>
  <si>
    <t>Executive Name</t>
  </si>
  <si>
    <t>ID Card No.</t>
  </si>
  <si>
    <t>Repo-Kit No.</t>
  </si>
  <si>
    <t>Repo Date</t>
  </si>
  <si>
    <t>Godown Name</t>
  </si>
  <si>
    <t>Godown Location</t>
  </si>
  <si>
    <t>Sale / Release Date</t>
  </si>
  <si>
    <t>Sale / Release Amount</t>
  </si>
  <si>
    <t>Category Of Mismatch</t>
  </si>
  <si>
    <t>Mismatch Details</t>
  </si>
  <si>
    <t>Repokit Return Date</t>
  </si>
  <si>
    <t>Valuation Dt -Valuation Report</t>
  </si>
  <si>
    <t>Valuation Date-Yards Register</t>
  </si>
  <si>
    <t>Type Of Executive</t>
  </si>
  <si>
    <t>Rcu Positive (Yes/No)</t>
  </si>
  <si>
    <t>Dra Trained (Yes/No/Na)</t>
  </si>
  <si>
    <t>Annexure To Form Part Of Agency Report :</t>
  </si>
  <si>
    <t>Sr No</t>
  </si>
  <si>
    <t>Name of FOS</t>
  </si>
  <si>
    <t xml:space="preserve"> ID Card No</t>
  </si>
  <si>
    <t>Source of information (Telephonic/ Personal Interaction)</t>
  </si>
  <si>
    <t>Product</t>
  </si>
  <si>
    <t>Trained on code of conduct</t>
  </si>
  <si>
    <t>Holding valid id card</t>
  </si>
  <si>
    <t>Remark</t>
  </si>
  <si>
    <t>Annexure :Call Recording Sampling Data</t>
  </si>
  <si>
    <t xml:space="preserve">                        </t>
  </si>
  <si>
    <t>LAN</t>
  </si>
  <si>
    <t>Call Recording available (Y/N)</t>
  </si>
  <si>
    <t>REMARKS</t>
  </si>
  <si>
    <t>Annexure : Receipt Recording Status</t>
  </si>
  <si>
    <t>SR. No</t>
  </si>
  <si>
    <t>Receipt no.</t>
  </si>
  <si>
    <t>Updated in Y CAPS(Yes/No)</t>
  </si>
  <si>
    <t>Remarks</t>
  </si>
  <si>
    <t xml:space="preserve"> NA, No such cases were found during audit period.</t>
  </si>
  <si>
    <t>Annexure : Call Recording Count</t>
  </si>
  <si>
    <t>January'26</t>
  </si>
  <si>
    <t>Februay'26</t>
  </si>
  <si>
    <t>March'26</t>
  </si>
  <si>
    <t>Non ID Card Allocation Details :</t>
  </si>
  <si>
    <t>Month</t>
  </si>
  <si>
    <t>CP Name</t>
  </si>
  <si>
    <t>Non ID Card Executive name</t>
  </si>
  <si>
    <t>Whether all the FOS has MCAPS ID’s and are active?</t>
  </si>
  <si>
    <t>1.Please comment about the process of filling in the receipts (completely and correctly and without cuttings/alterations/ over writing on the receipts).</t>
  </si>
  <si>
    <t>2.Do all cancelled receipts have all Four copies with the branch (Also check for hologram in cancelled receipts)?</t>
  </si>
  <si>
    <t>3.Hologram needs to be tamperred on all cancelled and expired receipts.</t>
  </si>
  <si>
    <t>4.Does the branch have FIR copies,indemnity bond  and newspaper advertisement cutout for  lost receipts ?</t>
  </si>
  <si>
    <t>5.Whether the agencies managed by the Collection Partner (CP) have returned the expired/used receipt books as per process. Also applicable for the in-house books used by the Collection Partner (CP)</t>
  </si>
  <si>
    <t>6.Whether all unused receipt books are in safe custody of agency's authorized person or not?</t>
  </si>
  <si>
    <t>Retail Collection</t>
  </si>
  <si>
    <t>NA as, During the audit review for the current quarter, it has been verified that no cash collection has been carried out by the designated agency</t>
  </si>
  <si>
    <t>Yes, the same has been compiled by the agency as per Bank Process</t>
  </si>
  <si>
    <t>Na as no physical receipt books are issued to the agency for the Audit period</t>
  </si>
  <si>
    <t>Yes, All Field Executives are DRA certified and hold valid digital ID cards issued by Yes Bank as per policy requirements.</t>
  </si>
  <si>
    <t>Yes, All Callers employed by the agency are DRA certified in accordance with regulatory and institutional requirements.</t>
  </si>
  <si>
    <t>NA as no Such case was observed for the audit period</t>
  </si>
  <si>
    <t>Yes, Call recording data are available with agency for 12 months</t>
  </si>
  <si>
    <t>Yes, Target setting letters are maintain by the agency as per Bank policy</t>
  </si>
  <si>
    <t>Yes, monthly vendor performance are maintain by the agency as per Bank policy</t>
  </si>
  <si>
    <t>Yes, USB/CD/Floppy drive was inactive for data transfer at agency for allotted system</t>
  </si>
  <si>
    <t>Yes, Valid Fidelity insurance(cash in transit &amp; cash in safe) is available at the Agency</t>
  </si>
  <si>
    <t>Yes, Shop establishment certificate is available with agency</t>
  </si>
  <si>
    <t>Yes, agency's address &amp; phone number are correctly updated on Yes Bank web site</t>
  </si>
  <si>
    <t>Yes, Copy of Monthly bill is available at agency</t>
  </si>
  <si>
    <t>Yes, NDC for the Last quarter is available at agency</t>
  </si>
  <si>
    <t>Yes, Full cooperation/complete &amp; timely data was received from agency for completing the audit</t>
  </si>
  <si>
    <t>Yes, non-compliance reported in the previous period are rectified and not observed for the current audit period</t>
  </si>
  <si>
    <t>No comment, No Additional case/observation was observed for the audit period</t>
  </si>
  <si>
    <t>Yes, latest rate annexures maintained at the agency</t>
  </si>
  <si>
    <t>Yes, Code of Conduct poster is displayed at the agency</t>
  </si>
  <si>
    <t>Yes, Compete vendor agreement is maintained at the agency</t>
  </si>
  <si>
    <t>Yes, Compete agreement is maintained at the agency</t>
  </si>
  <si>
    <t>Yes, Calling feedback and visit feedback are recorded by the agency for their allotted cases</t>
  </si>
  <si>
    <t>Na as no Repokit are issued to the agency for the Audit period</t>
  </si>
  <si>
    <t>Yes, Call recording facility available at the agency &amp; 100% call recordings were done</t>
  </si>
  <si>
    <t>Yes, Live call recording facility available and working at the time of audit</t>
  </si>
  <si>
    <t>Yes, Target setting letters are maintain by the agency with complete and correct details</t>
  </si>
  <si>
    <t>Yes, monthly vendor performance are maintain by the agency with complete and correct details</t>
  </si>
  <si>
    <t>Blue book formats are filled completely/correctly by the agency</t>
  </si>
  <si>
    <t>Yes, Code of Conduct guidelines was followed by telecaller during the call to customer</t>
  </si>
  <si>
    <t>Yes, Calling was done by the agency as per COC guidelines</t>
  </si>
  <si>
    <t>Yes, Call intensity was followed by the agency as per COC guidelines</t>
  </si>
  <si>
    <t>Sr. No</t>
  </si>
  <si>
    <t>Kumar Gaurav Agarwal &amp;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</si>
</sst>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0\ ;[Red]\(0\)"/>
    <numFmt numFmtId="166" formatCode="0_);[Red]\(0\)"/>
    <numFmt numFmtId="167" formatCode="[$-409]d\-mmm\-yy;@"/>
  </numFmts>
  <fonts count="28" x14ac:knownFonts="1">
    <font>
      <sz val="10"/>
      <name val="Arial"/>
    </font>
    <font>
      <sz val="10"/>
      <name val="Book Antiqua"/>
      <family val="1"/>
    </font>
    <font>
      <sz val="10"/>
      <name val="Arial"/>
      <family val="2"/>
    </font>
    <font>
      <b/>
      <sz val="10"/>
      <color indexed="9"/>
      <name val="Book Antiqua"/>
      <family val="1"/>
    </font>
    <font>
      <b/>
      <sz val="10"/>
      <color theme="1"/>
      <name val="Book Antiqua"/>
      <family val="1"/>
    </font>
    <font>
      <sz val="11"/>
      <color indexed="17"/>
      <name val="Calibri"/>
      <family val="2"/>
    </font>
    <font>
      <sz val="10"/>
      <color indexed="17"/>
      <name val="Book Antiqua"/>
      <family val="1"/>
    </font>
    <font>
      <sz val="10"/>
      <color indexed="8"/>
      <name val="Book Antiqua"/>
      <family val="1"/>
    </font>
    <font>
      <b/>
      <u/>
      <sz val="10"/>
      <name val="Book Antiqua"/>
      <family val="1"/>
    </font>
    <font>
      <b/>
      <sz val="10"/>
      <name val="Book Antiqua"/>
      <family val="1"/>
    </font>
    <font>
      <b/>
      <sz val="10"/>
      <color rgb="FF00B050"/>
      <name val="Book Antiqua"/>
      <family val="1"/>
    </font>
    <font>
      <sz val="10"/>
      <color rgb="FF000000"/>
      <name val="Book Antiqua"/>
      <family val="1"/>
    </font>
    <font>
      <b/>
      <sz val="9"/>
      <color indexed="9"/>
      <name val="Book Antiqua"/>
      <family val="1"/>
    </font>
    <font>
      <b/>
      <sz val="9"/>
      <name val="Book Antiqua"/>
      <family val="1"/>
    </font>
    <font>
      <sz val="9"/>
      <name val="Book Antiqua"/>
      <family val="1"/>
    </font>
    <font>
      <sz val="11"/>
      <color theme="1"/>
      <name val="Aptos Narrow"/>
      <family val="2"/>
      <scheme val="minor"/>
    </font>
    <font>
      <sz val="9"/>
      <color theme="1"/>
      <name val="Book Antiqua"/>
      <family val="1"/>
    </font>
    <font>
      <u/>
      <sz val="9"/>
      <name val="Book Antiqua"/>
      <family val="1"/>
    </font>
    <font>
      <sz val="11"/>
      <color indexed="8"/>
      <name val="Calibri"/>
      <family val="2"/>
    </font>
    <font>
      <b/>
      <sz val="9"/>
      <color theme="2"/>
      <name val="Book Antiqua"/>
      <family val="1"/>
    </font>
    <font>
      <sz val="9"/>
      <color theme="2"/>
      <name val="Book Antiqua"/>
      <family val="1"/>
    </font>
    <font>
      <b/>
      <sz val="9"/>
      <color theme="1"/>
      <name val="Book Antiqua"/>
      <family val="1"/>
    </font>
    <font>
      <sz val="9"/>
      <color rgb="FFFF0000"/>
      <name val="Book Antiqua"/>
      <family val="1"/>
    </font>
    <font>
      <sz val="9"/>
      <color theme="5"/>
      <name val="Book Antiqua"/>
      <family val="1"/>
    </font>
    <font>
      <sz val="10"/>
      <color theme="1"/>
      <name val="Book Antiqua"/>
      <family val="1"/>
    </font>
    <font>
      <sz val="11"/>
      <color theme="1"/>
      <name val="Book Antiqua"/>
      <family val="1"/>
    </font>
    <font>
      <b/>
      <sz val="10"/>
      <color theme="1"/>
      <name val="Aptos Narrow"/>
      <family val="2"/>
      <scheme val="minor"/>
    </font>
    <font>
      <sz val="11"/>
      <color theme="1"/>
      <name val="Cambria"/>
      <family val="2"/>
    </font>
  </fonts>
  <fills count="7">
    <fill>
      <patternFill patternType="none"/>
    </fill>
    <fill>
      <patternFill patternType="gray125"/>
    </fill>
    <fill>
      <patternFill patternType="solid">
        <fgColor rgb="FF003155"/>
        <bgColor indexed="31"/>
      </patternFill>
    </fill>
    <fill>
      <patternFill patternType="solid">
        <fgColor indexed="42"/>
      </patternFill>
    </fill>
    <fill>
      <patternFill patternType="solid">
        <fgColor rgb="FF003155"/>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12">
    <xf numFmtId="0" fontId="0" fillId="0" borderId="0"/>
    <xf numFmtId="9" fontId="2" fillId="0" borderId="0" applyFont="0" applyFill="0" applyBorder="0" applyAlignment="0" applyProtection="0"/>
    <xf numFmtId="0" fontId="5" fillId="3" borderId="0" applyNumberFormat="0" applyBorder="0" applyAlignment="0" applyProtection="0"/>
    <xf numFmtId="0" fontId="2" fillId="0" borderId="0"/>
    <xf numFmtId="0" fontId="2" fillId="0" borderId="0"/>
    <xf numFmtId="0" fontId="15" fillId="0" borderId="0"/>
    <xf numFmtId="0" fontId="18" fillId="0" borderId="0"/>
    <xf numFmtId="0" fontId="2" fillId="0" borderId="0"/>
    <xf numFmtId="0" fontId="2" fillId="0" borderId="0" applyNumberFormat="0" applyFill="0" applyBorder="0" applyAlignment="0" applyProtection="0"/>
    <xf numFmtId="0" fontId="2" fillId="0" borderId="0"/>
    <xf numFmtId="0" fontId="2" fillId="0" borderId="0"/>
    <xf numFmtId="0" fontId="27" fillId="0" borderId="0"/>
  </cellStyleXfs>
  <cellXfs count="161">
    <xf numFmtId="0" fontId="0" fillId="0" borderId="0" xfId="0"/>
    <xf numFmtId="0" fontId="1" fillId="0" borderId="0" xfId="0" applyFont="1"/>
    <xf numFmtId="0" fontId="3" fillId="2" borderId="4" xfId="0" applyFont="1" applyFill="1" applyBorder="1" applyAlignment="1">
      <alignment horizontal="left" vertical="center"/>
    </xf>
    <xf numFmtId="0" fontId="4" fillId="0" borderId="4" xfId="0" applyFont="1" applyBorder="1" applyAlignment="1">
      <alignment horizontal="left" vertical="center"/>
    </xf>
    <xf numFmtId="0" fontId="6" fillId="0" borderId="0" xfId="2" applyFont="1" applyFill="1" applyBorder="1" applyAlignment="1" applyProtection="1">
      <alignment horizontal="left" wrapText="1"/>
    </xf>
    <xf numFmtId="164" fontId="4" fillId="0" borderId="4" xfId="0" applyNumberFormat="1" applyFont="1" applyBorder="1" applyAlignment="1">
      <alignment horizontal="left" vertical="center"/>
    </xf>
    <xf numFmtId="0" fontId="7" fillId="0" borderId="0" xfId="0" applyFont="1" applyAlignment="1">
      <alignment horizontal="left"/>
    </xf>
    <xf numFmtId="0" fontId="7" fillId="0" borderId="0" xfId="0" applyFont="1"/>
    <xf numFmtId="0" fontId="8" fillId="0" borderId="0" xfId="0" applyFont="1" applyAlignment="1">
      <alignment horizontal="left" vertical="center"/>
    </xf>
    <xf numFmtId="0" fontId="7" fillId="0" borderId="0" xfId="0" applyFont="1" applyAlignment="1">
      <alignment wrapText="1"/>
    </xf>
    <xf numFmtId="2" fontId="9" fillId="0" borderId="0" xfId="1" applyNumberFormat="1" applyFont="1" applyFill="1" applyBorder="1" applyAlignment="1" applyProtection="1">
      <alignment horizontal="center" vertical="top"/>
    </xf>
    <xf numFmtId="0" fontId="10" fillId="0" borderId="0" xfId="0" applyFont="1" applyAlignment="1">
      <alignment horizontal="center" vertical="center"/>
    </xf>
    <xf numFmtId="0" fontId="3" fillId="2" borderId="7" xfId="0" applyFont="1" applyFill="1" applyBorder="1" applyAlignment="1">
      <alignment horizontal="left" vertical="center"/>
    </xf>
    <xf numFmtId="1" fontId="4" fillId="0" borderId="4" xfId="3" applyNumberFormat="1" applyFont="1" applyBorder="1" applyAlignment="1">
      <alignment horizontal="center" vertical="center"/>
    </xf>
    <xf numFmtId="9" fontId="9" fillId="0" borderId="4" xfId="1" applyFont="1" applyBorder="1" applyAlignment="1">
      <alignment horizontal="center"/>
    </xf>
    <xf numFmtId="0" fontId="11" fillId="0" borderId="8" xfId="0" applyFont="1" applyBorder="1" applyAlignment="1">
      <alignment vertical="center"/>
    </xf>
    <xf numFmtId="1" fontId="3" fillId="2" borderId="4" xfId="0" applyNumberFormat="1" applyFont="1" applyFill="1" applyBorder="1" applyAlignment="1">
      <alignment horizontal="center" vertical="center"/>
    </xf>
    <xf numFmtId="9" fontId="3" fillId="2" borderId="4" xfId="1" applyFont="1" applyFill="1" applyBorder="1" applyAlignment="1" applyProtection="1">
      <alignment horizontal="center" vertical="center"/>
    </xf>
    <xf numFmtId="0" fontId="3" fillId="2" borderId="9" xfId="0" applyFont="1" applyFill="1" applyBorder="1" applyAlignment="1">
      <alignment horizontal="center" vertical="center"/>
    </xf>
    <xf numFmtId="0" fontId="8" fillId="0" borderId="0" xfId="0" applyFont="1" applyAlignment="1">
      <alignment vertical="center"/>
    </xf>
    <xf numFmtId="0" fontId="1" fillId="0" borderId="0" xfId="0" applyFont="1" applyAlignment="1">
      <alignment vertical="center"/>
    </xf>
    <xf numFmtId="0" fontId="3" fillId="2" borderId="4" xfId="0" applyFont="1" applyFill="1" applyBorder="1" applyAlignment="1">
      <alignment horizontal="center" vertical="center"/>
    </xf>
    <xf numFmtId="0" fontId="1" fillId="0" borderId="4" xfId="0" applyFont="1" applyBorder="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vertical="center"/>
    </xf>
    <xf numFmtId="0" fontId="12" fillId="4" borderId="5" xfId="4" applyFont="1" applyFill="1" applyBorder="1" applyAlignment="1" applyProtection="1">
      <alignment horizontal="center" vertical="center" wrapText="1"/>
      <protection locked="0"/>
    </xf>
    <xf numFmtId="0" fontId="12" fillId="4" borderId="6" xfId="4" applyFont="1" applyFill="1" applyBorder="1" applyAlignment="1" applyProtection="1">
      <alignment horizontal="center" vertical="center" wrapText="1"/>
      <protection locked="0"/>
    </xf>
    <xf numFmtId="0" fontId="12" fillId="4" borderId="6" xfId="4" applyFont="1" applyFill="1" applyBorder="1" applyAlignment="1" applyProtection="1">
      <alignment horizontal="center" vertical="center"/>
      <protection locked="0"/>
    </xf>
    <xf numFmtId="0" fontId="12" fillId="4" borderId="11" xfId="4" applyFont="1" applyFill="1" applyBorder="1" applyAlignment="1" applyProtection="1">
      <alignment horizontal="center" vertical="center" wrapText="1"/>
      <protection locked="0"/>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3" fillId="0" borderId="4" xfId="0" applyFont="1" applyBorder="1" applyAlignment="1">
      <alignment horizontal="left" vertical="center" wrapText="1"/>
    </xf>
    <xf numFmtId="0" fontId="14" fillId="0" borderId="4" xfId="0" applyFont="1" applyBorder="1" applyAlignment="1">
      <alignment horizontal="left" vertical="center" wrapText="1"/>
    </xf>
    <xf numFmtId="0" fontId="14" fillId="0" borderId="4" xfId="0" applyFont="1" applyBorder="1" applyAlignment="1">
      <alignment vertical="top" wrapText="1"/>
    </xf>
    <xf numFmtId="0" fontId="14" fillId="5" borderId="4" xfId="5" applyFont="1" applyFill="1" applyBorder="1" applyAlignment="1">
      <alignment vertical="top" wrapText="1"/>
    </xf>
    <xf numFmtId="49" fontId="14" fillId="0" borderId="4" xfId="0" applyNumberFormat="1" applyFont="1" applyBorder="1" applyAlignment="1">
      <alignment horizontal="left" vertical="top" wrapText="1"/>
    </xf>
    <xf numFmtId="0" fontId="14" fillId="0" borderId="4" xfId="0" applyFont="1" applyBorder="1" applyAlignment="1" applyProtection="1">
      <alignment horizontal="center" vertical="top"/>
      <protection locked="0"/>
    </xf>
    <xf numFmtId="165" fontId="14" fillId="0" borderId="4" xfId="0" applyNumberFormat="1" applyFont="1" applyBorder="1" applyAlignment="1" applyProtection="1">
      <alignment horizontal="center" vertical="top" wrapText="1"/>
      <protection locked="0"/>
    </xf>
    <xf numFmtId="165" fontId="14" fillId="0" borderId="4" xfId="0" applyNumberFormat="1" applyFont="1" applyBorder="1" applyAlignment="1" applyProtection="1">
      <alignment horizontal="center" vertical="top"/>
      <protection locked="0"/>
    </xf>
    <xf numFmtId="0" fontId="14" fillId="6" borderId="4" xfId="0" applyFont="1" applyFill="1" applyBorder="1" applyAlignment="1">
      <alignment vertical="top" wrapText="1"/>
    </xf>
    <xf numFmtId="0" fontId="14" fillId="0" borderId="8" xfId="0" applyFont="1" applyBorder="1" applyAlignment="1">
      <alignment horizontal="left" vertical="top" wrapText="1"/>
    </xf>
    <xf numFmtId="0" fontId="14" fillId="0" borderId="0" xfId="0" applyFont="1" applyAlignment="1">
      <alignment horizontal="center" vertical="center" wrapText="1"/>
    </xf>
    <xf numFmtId="0" fontId="14" fillId="0" borderId="4" xfId="0" applyFont="1" applyBorder="1" applyAlignment="1">
      <alignment horizontal="left" vertical="top" wrapText="1"/>
    </xf>
    <xf numFmtId="0" fontId="14" fillId="0" borderId="4" xfId="0" applyFont="1" applyBorder="1" applyAlignment="1" applyProtection="1">
      <alignment horizontal="left" vertical="center" wrapText="1"/>
      <protection locked="0"/>
    </xf>
    <xf numFmtId="0" fontId="16" fillId="0" borderId="4" xfId="5" applyFont="1" applyBorder="1" applyAlignment="1">
      <alignment wrapText="1"/>
    </xf>
    <xf numFmtId="0" fontId="17" fillId="0" borderId="4" xfId="0" applyFont="1" applyBorder="1" applyAlignment="1">
      <alignment horizontal="left" vertical="top" wrapText="1"/>
    </xf>
    <xf numFmtId="0" fontId="14" fillId="6" borderId="4" xfId="0" applyFont="1" applyFill="1" applyBorder="1" applyAlignment="1">
      <alignment horizontal="left" vertical="top" wrapText="1"/>
    </xf>
    <xf numFmtId="0" fontId="14" fillId="0" borderId="0" xfId="0" applyFont="1" applyAlignment="1">
      <alignment horizontal="left" vertical="top" wrapText="1"/>
    </xf>
    <xf numFmtId="0" fontId="14" fillId="5" borderId="4" xfId="0" applyFont="1" applyFill="1" applyBorder="1" applyAlignment="1">
      <alignment horizontal="left" vertical="top" wrapText="1"/>
    </xf>
    <xf numFmtId="166" fontId="14" fillId="0" borderId="4" xfId="0" applyNumberFormat="1" applyFont="1" applyBorder="1" applyAlignment="1" applyProtection="1">
      <alignment horizontal="center" vertical="top"/>
      <protection locked="0"/>
    </xf>
    <xf numFmtId="0" fontId="14" fillId="0" borderId="4" xfId="0" applyFont="1" applyBorder="1" applyAlignment="1" applyProtection="1">
      <alignment horizontal="left" vertical="top" wrapText="1"/>
      <protection locked="0"/>
    </xf>
    <xf numFmtId="0" fontId="16" fillId="0" borderId="4" xfId="0" applyFont="1" applyBorder="1" applyAlignment="1">
      <alignment horizontal="left" vertical="top" wrapText="1"/>
    </xf>
    <xf numFmtId="0" fontId="16" fillId="0" borderId="4" xfId="0" applyFont="1" applyBorder="1" applyAlignment="1" applyProtection="1">
      <alignment horizontal="center" vertical="top"/>
      <protection locked="0"/>
    </xf>
    <xf numFmtId="165" fontId="16" fillId="0" borderId="4" xfId="0" applyNumberFormat="1" applyFont="1" applyBorder="1" applyAlignment="1" applyProtection="1">
      <alignment horizontal="center" vertical="top"/>
      <protection locked="0"/>
    </xf>
    <xf numFmtId="166" fontId="16" fillId="0" borderId="4" xfId="0" applyNumberFormat="1" applyFont="1" applyBorder="1" applyAlignment="1" applyProtection="1">
      <alignment horizontal="left" vertical="top" wrapText="1"/>
      <protection locked="0"/>
    </xf>
    <xf numFmtId="0" fontId="16" fillId="0" borderId="4" xfId="0" applyFont="1" applyBorder="1" applyAlignment="1">
      <alignment horizontal="left" vertical="center" wrapText="1"/>
    </xf>
    <xf numFmtId="0" fontId="16" fillId="0" borderId="4" xfId="0" applyFont="1" applyBorder="1" applyAlignment="1" applyProtection="1">
      <alignment horizontal="left" vertical="top" wrapText="1"/>
      <protection locked="0"/>
    </xf>
    <xf numFmtId="0" fontId="16" fillId="0" borderId="8" xfId="0" applyFont="1" applyBorder="1" applyAlignment="1">
      <alignment horizontal="left" vertical="top" wrapText="1"/>
    </xf>
    <xf numFmtId="0" fontId="16" fillId="0" borderId="4" xfId="0" applyFont="1" applyBorder="1" applyAlignment="1" applyProtection="1">
      <alignment vertical="top" wrapText="1"/>
      <protection locked="0"/>
    </xf>
    <xf numFmtId="166" fontId="16" fillId="0" borderId="4" xfId="0" applyNumberFormat="1" applyFont="1" applyBorder="1" applyAlignment="1" applyProtection="1">
      <alignment horizontal="center" vertical="top"/>
      <protection locked="0"/>
    </xf>
    <xf numFmtId="14" fontId="16" fillId="0" borderId="4" xfId="0" applyNumberFormat="1" applyFont="1" applyBorder="1" applyAlignment="1">
      <alignment horizontal="left" vertical="top" wrapText="1"/>
    </xf>
    <xf numFmtId="0" fontId="19" fillId="4" borderId="7" xfId="0" applyFont="1" applyFill="1" applyBorder="1" applyAlignment="1">
      <alignment horizontal="center" vertical="center" wrapText="1"/>
    </xf>
    <xf numFmtId="0" fontId="19" fillId="4" borderId="4" xfId="0" applyFont="1" applyFill="1" applyBorder="1" applyAlignment="1">
      <alignment horizontal="left" vertical="center" wrapText="1"/>
    </xf>
    <xf numFmtId="0" fontId="20" fillId="4" borderId="4" xfId="0" applyFont="1" applyFill="1" applyBorder="1" applyAlignment="1">
      <alignment horizontal="left" vertical="center" wrapText="1"/>
    </xf>
    <xf numFmtId="0" fontId="19" fillId="4" borderId="4" xfId="0" applyFont="1" applyFill="1" applyBorder="1" applyAlignment="1">
      <alignment horizontal="left" vertical="top" wrapText="1"/>
    </xf>
    <xf numFmtId="165" fontId="19" fillId="4" borderId="4" xfId="0" applyNumberFormat="1" applyFont="1" applyFill="1" applyBorder="1" applyAlignment="1" applyProtection="1">
      <alignment horizontal="center" vertical="top" wrapText="1"/>
      <protection locked="0"/>
    </xf>
    <xf numFmtId="0" fontId="19" fillId="4" borderId="4" xfId="0" applyFont="1" applyFill="1" applyBorder="1" applyAlignment="1">
      <alignment horizontal="center" vertical="top" wrapText="1"/>
    </xf>
    <xf numFmtId="1" fontId="19" fillId="4" borderId="4" xfId="0" applyNumberFormat="1" applyFont="1" applyFill="1" applyBorder="1" applyAlignment="1">
      <alignment horizontal="center" vertical="top" wrapText="1"/>
    </xf>
    <xf numFmtId="0" fontId="19" fillId="4" borderId="4" xfId="0" applyFont="1" applyFill="1" applyBorder="1" applyAlignment="1">
      <alignment vertical="top" wrapText="1"/>
    </xf>
    <xf numFmtId="0" fontId="19" fillId="4" borderId="8" xfId="0" applyFont="1" applyFill="1" applyBorder="1" applyAlignment="1">
      <alignment horizontal="left" vertical="top" wrapText="1"/>
    </xf>
    <xf numFmtId="0" fontId="13" fillId="0" borderId="0" xfId="0" applyFont="1" applyAlignment="1">
      <alignment horizontal="left" vertical="top" wrapText="1"/>
    </xf>
    <xf numFmtId="0" fontId="21" fillId="0" borderId="7" xfId="0" applyFont="1" applyBorder="1" applyAlignment="1">
      <alignment horizontal="center" vertical="center" wrapText="1"/>
    </xf>
    <xf numFmtId="0" fontId="21" fillId="0" borderId="4" xfId="0" applyFont="1" applyBorder="1" applyAlignment="1">
      <alignment horizontal="left" vertical="center" wrapText="1"/>
    </xf>
    <xf numFmtId="0" fontId="16" fillId="5" borderId="4" xfId="0" applyFont="1" applyFill="1" applyBorder="1" applyAlignment="1">
      <alignment horizontal="left" vertical="top" wrapText="1"/>
    </xf>
    <xf numFmtId="0" fontId="16" fillId="0" borderId="0" xfId="0" applyFont="1" applyAlignment="1">
      <alignment horizontal="left" vertical="top" wrapText="1"/>
    </xf>
    <xf numFmtId="0" fontId="13" fillId="5" borderId="4" xfId="0" applyFont="1" applyFill="1" applyBorder="1" applyAlignment="1">
      <alignment horizontal="left" vertical="top" wrapText="1"/>
    </xf>
    <xf numFmtId="0" fontId="22" fillId="0" borderId="0" xfId="0" applyFont="1" applyAlignment="1">
      <alignment horizontal="left" vertical="top" wrapText="1"/>
    </xf>
    <xf numFmtId="0" fontId="14" fillId="0" borderId="4" xfId="0" applyFont="1" applyBorder="1" applyAlignment="1">
      <alignment wrapText="1"/>
    </xf>
    <xf numFmtId="165" fontId="16" fillId="0" borderId="4" xfId="0" applyNumberFormat="1" applyFont="1" applyBorder="1" applyAlignment="1" applyProtection="1">
      <alignment horizontal="center" vertical="top" wrapText="1"/>
      <protection locked="0"/>
    </xf>
    <xf numFmtId="0" fontId="16" fillId="0" borderId="4" xfId="0" applyFont="1" applyBorder="1" applyAlignment="1">
      <alignment horizontal="center" vertical="top" wrapText="1"/>
    </xf>
    <xf numFmtId="0" fontId="14" fillId="0" borderId="4" xfId="0" applyFont="1" applyBorder="1" applyAlignment="1">
      <alignment horizontal="center" vertical="top" wrapText="1"/>
    </xf>
    <xf numFmtId="0" fontId="16" fillId="0" borderId="4" xfId="0" quotePrefix="1" applyFont="1" applyBorder="1" applyAlignment="1">
      <alignment horizontal="left" vertical="top" wrapText="1"/>
    </xf>
    <xf numFmtId="0" fontId="23" fillId="0" borderId="0" xfId="0" applyFont="1" applyAlignment="1">
      <alignment horizontal="left" vertical="top" wrapText="1"/>
    </xf>
    <xf numFmtId="0" fontId="21" fillId="0" borderId="0" xfId="0" applyFont="1" applyAlignment="1">
      <alignment horizontal="left" vertical="top" wrapText="1"/>
    </xf>
    <xf numFmtId="0" fontId="19" fillId="4" borderId="4" xfId="0" applyFont="1" applyFill="1" applyBorder="1" applyAlignment="1" applyProtection="1">
      <alignment horizontal="center" vertical="top"/>
      <protection locked="0"/>
    </xf>
    <xf numFmtId="0" fontId="19" fillId="4" borderId="4" xfId="0" applyFont="1" applyFill="1" applyBorder="1" applyAlignment="1" applyProtection="1">
      <alignment horizontal="left" vertical="top" wrapText="1"/>
      <protection locked="0"/>
    </xf>
    <xf numFmtId="0" fontId="16" fillId="0" borderId="4" xfId="0" applyFont="1" applyBorder="1" applyAlignment="1">
      <alignment vertical="top" wrapText="1"/>
    </xf>
    <xf numFmtId="0" fontId="16" fillId="0" borderId="4" xfId="7" applyFont="1" applyBorder="1" applyAlignment="1" applyProtection="1">
      <alignment horizontal="center" vertical="top" wrapText="1"/>
      <protection locked="0"/>
    </xf>
    <xf numFmtId="0" fontId="16" fillId="0" borderId="4" xfId="8" applyFont="1" applyFill="1" applyBorder="1" applyAlignment="1" applyProtection="1">
      <alignment horizontal="left" vertical="top" wrapText="1"/>
    </xf>
    <xf numFmtId="0" fontId="16" fillId="0" borderId="4" xfId="0" applyFont="1" applyBorder="1" applyAlignment="1" applyProtection="1">
      <alignment horizontal="center" vertical="top" wrapText="1"/>
      <protection locked="0"/>
    </xf>
    <xf numFmtId="0" fontId="19" fillId="4" borderId="9"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4" borderId="10" xfId="0" applyFont="1" applyFill="1" applyBorder="1" applyAlignment="1">
      <alignment horizontal="left" vertical="top" wrapText="1"/>
    </xf>
    <xf numFmtId="0" fontId="19" fillId="4" borderId="10" xfId="0" applyFont="1" applyFill="1" applyBorder="1" applyAlignment="1">
      <alignment horizontal="center" vertical="top" wrapText="1"/>
    </xf>
    <xf numFmtId="0" fontId="19" fillId="4" borderId="10" xfId="0" applyFont="1" applyFill="1" applyBorder="1" applyAlignment="1" applyProtection="1">
      <alignment horizontal="center" vertical="top"/>
      <protection locked="0"/>
    </xf>
    <xf numFmtId="0" fontId="19" fillId="4" borderId="10" xfId="0" applyFont="1" applyFill="1" applyBorder="1" applyAlignment="1" applyProtection="1">
      <alignment horizontal="left" vertical="top" wrapText="1"/>
      <protection locked="0"/>
    </xf>
    <xf numFmtId="0" fontId="19" fillId="4" borderId="12" xfId="0" applyFont="1" applyFill="1" applyBorder="1" applyAlignment="1">
      <alignment horizontal="left" vertical="top" wrapText="1"/>
    </xf>
    <xf numFmtId="0" fontId="13" fillId="0" borderId="0" xfId="0" applyFont="1" applyAlignment="1">
      <alignment horizontal="center" vertical="top" wrapText="1"/>
    </xf>
    <xf numFmtId="0" fontId="14" fillId="0" borderId="0" xfId="0" applyFont="1" applyAlignment="1">
      <alignment horizontal="center" vertical="top" wrapText="1"/>
    </xf>
    <xf numFmtId="0" fontId="3" fillId="4" borderId="4" xfId="4" applyFont="1" applyFill="1" applyBorder="1" applyAlignment="1" applyProtection="1">
      <alignment horizontal="center" vertical="center"/>
      <protection locked="0"/>
    </xf>
    <xf numFmtId="0" fontId="9" fillId="0" borderId="0" xfId="9" applyFont="1"/>
    <xf numFmtId="0" fontId="1" fillId="0" borderId="0" xfId="9" applyFont="1" applyAlignment="1">
      <alignment horizontal="center"/>
    </xf>
    <xf numFmtId="0" fontId="1" fillId="0" borderId="0" xfId="9" applyFont="1"/>
    <xf numFmtId="0" fontId="3" fillId="4" borderId="5" xfId="4" applyFont="1" applyFill="1" applyBorder="1" applyAlignment="1" applyProtection="1">
      <alignment horizontal="center" vertical="center"/>
      <protection locked="0"/>
    </xf>
    <xf numFmtId="0" fontId="3" fillId="4" borderId="6" xfId="4" applyFont="1" applyFill="1" applyBorder="1" applyAlignment="1" applyProtection="1">
      <alignment horizontal="center" vertical="center"/>
      <protection locked="0"/>
    </xf>
    <xf numFmtId="0" fontId="3" fillId="4" borderId="6" xfId="4" applyFont="1" applyFill="1" applyBorder="1" applyAlignment="1" applyProtection="1">
      <alignment horizontal="center" vertical="center" wrapText="1"/>
      <protection locked="0"/>
    </xf>
    <xf numFmtId="0" fontId="3" fillId="4" borderId="11" xfId="4" applyFont="1" applyFill="1" applyBorder="1" applyAlignment="1" applyProtection="1">
      <alignment horizontal="center" vertical="center"/>
      <protection locked="0"/>
    </xf>
    <xf numFmtId="0" fontId="1" fillId="0" borderId="7" xfId="9" applyFont="1" applyBorder="1" applyAlignment="1">
      <alignment horizontal="center"/>
    </xf>
    <xf numFmtId="0" fontId="24" fillId="0" borderId="4" xfId="0" applyFont="1" applyBorder="1" applyAlignment="1">
      <alignment vertical="center"/>
    </xf>
    <xf numFmtId="0" fontId="1" fillId="0" borderId="4" xfId="9" applyFont="1" applyBorder="1"/>
    <xf numFmtId="0" fontId="1" fillId="0" borderId="8" xfId="9" applyFont="1" applyBorder="1"/>
    <xf numFmtId="0" fontId="1" fillId="0" borderId="9" xfId="9" applyFont="1" applyBorder="1" applyAlignment="1">
      <alignment horizontal="center"/>
    </xf>
    <xf numFmtId="0" fontId="24" fillId="0" borderId="10" xfId="0" applyFont="1" applyBorder="1" applyAlignment="1">
      <alignment vertical="center"/>
    </xf>
    <xf numFmtId="0" fontId="1" fillId="0" borderId="10" xfId="9" applyFont="1" applyBorder="1"/>
    <xf numFmtId="0" fontId="1" fillId="0" borderId="12" xfId="9" applyFont="1" applyBorder="1"/>
    <xf numFmtId="0" fontId="25" fillId="0" borderId="0" xfId="0" applyFont="1" applyAlignment="1">
      <alignment horizontal="center"/>
    </xf>
    <xf numFmtId="0" fontId="4" fillId="0" borderId="0" xfId="9" applyFont="1" applyAlignment="1">
      <alignment vertical="center"/>
    </xf>
    <xf numFmtId="0" fontId="9" fillId="0" borderId="7" xfId="9" applyFont="1" applyBorder="1" applyAlignment="1">
      <alignment horizontal="center" vertical="center"/>
    </xf>
    <xf numFmtId="0" fontId="24" fillId="0" borderId="4" xfId="0" applyFont="1" applyBorder="1" applyAlignment="1">
      <alignment horizontal="center" vertical="center"/>
    </xf>
    <xf numFmtId="167" fontId="24" fillId="0" borderId="4" xfId="0" applyNumberFormat="1" applyFont="1" applyBorder="1" applyAlignment="1">
      <alignment horizontal="left" vertical="center"/>
    </xf>
    <xf numFmtId="0" fontId="1" fillId="0" borderId="4" xfId="9" applyFont="1" applyBorder="1" applyAlignment="1">
      <alignment horizontal="left" vertical="center"/>
    </xf>
    <xf numFmtId="14" fontId="24" fillId="0" borderId="8" xfId="10" applyNumberFormat="1" applyFont="1" applyBorder="1" applyAlignment="1">
      <alignment horizontal="center" vertical="center"/>
    </xf>
    <xf numFmtId="0" fontId="24" fillId="0" borderId="4" xfId="0" applyFont="1" applyBorder="1" applyAlignment="1">
      <alignment horizontal="center"/>
    </xf>
    <xf numFmtId="0" fontId="24" fillId="0" borderId="4" xfId="0" applyFont="1" applyBorder="1"/>
    <xf numFmtId="167" fontId="24" fillId="0" borderId="4" xfId="0" applyNumberFormat="1" applyFont="1" applyBorder="1" applyAlignment="1">
      <alignment horizontal="left"/>
    </xf>
    <xf numFmtId="0" fontId="26" fillId="0" borderId="7" xfId="0" applyFont="1" applyBorder="1" applyAlignment="1">
      <alignment horizontal="center"/>
    </xf>
    <xf numFmtId="0" fontId="24" fillId="0" borderId="4" xfId="0" applyFont="1" applyBorder="1" applyAlignment="1">
      <alignment horizontal="left" vertical="center"/>
    </xf>
    <xf numFmtId="0" fontId="26" fillId="0" borderId="9" xfId="0" applyFont="1" applyBorder="1" applyAlignment="1">
      <alignment horizontal="center"/>
    </xf>
    <xf numFmtId="0" fontId="24" fillId="0" borderId="10" xfId="0" applyFont="1" applyBorder="1" applyAlignment="1">
      <alignment horizontal="center" vertical="center"/>
    </xf>
    <xf numFmtId="0" fontId="24" fillId="0" borderId="10" xfId="0" applyFont="1" applyBorder="1" applyAlignment="1">
      <alignment horizontal="left" vertical="center"/>
    </xf>
    <xf numFmtId="0" fontId="1" fillId="0" borderId="10" xfId="9" applyFont="1" applyBorder="1" applyAlignment="1">
      <alignment horizontal="left" vertical="center"/>
    </xf>
    <xf numFmtId="14" fontId="24" fillId="0" borderId="12" xfId="10" applyNumberFormat="1" applyFont="1" applyBorder="1" applyAlignment="1">
      <alignment horizontal="center" vertical="center"/>
    </xf>
    <xf numFmtId="0" fontId="1" fillId="0" borderId="7" xfId="0" applyFont="1" applyBorder="1" applyAlignment="1">
      <alignment horizontal="left"/>
    </xf>
    <xf numFmtId="0" fontId="1" fillId="0" borderId="4"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 fillId="0" borderId="12" xfId="0" applyFont="1" applyBorder="1" applyAlignment="1">
      <alignment horizontal="left"/>
    </xf>
    <xf numFmtId="0" fontId="9" fillId="0" borderId="0" xfId="0" applyFont="1"/>
    <xf numFmtId="0" fontId="1" fillId="0" borderId="0" xfId="0" applyFont="1" applyAlignment="1">
      <alignment horizontal="center"/>
    </xf>
    <xf numFmtId="0" fontId="1" fillId="0" borderId="0" xfId="0" applyFont="1" applyAlignment="1">
      <alignment horizontal="left" vertical="center"/>
    </xf>
    <xf numFmtId="0" fontId="3" fillId="4" borderId="16" xfId="4" applyFont="1" applyFill="1" applyBorder="1" applyAlignment="1" applyProtection="1">
      <alignment vertical="top"/>
      <protection locked="0"/>
    </xf>
    <xf numFmtId="0" fontId="16" fillId="6" borderId="17" xfId="11" applyFont="1" applyFill="1" applyBorder="1" applyAlignment="1">
      <alignment horizontal="left" vertical="center"/>
    </xf>
    <xf numFmtId="0" fontId="16" fillId="6" borderId="7" xfId="11" applyFont="1" applyFill="1" applyBorder="1" applyAlignment="1">
      <alignment horizontal="left" vertical="center"/>
    </xf>
    <xf numFmtId="0" fontId="4" fillId="0" borderId="18" xfId="0" applyFont="1" applyBorder="1" applyAlignment="1">
      <alignment horizontal="left"/>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 xfId="3" applyFont="1" applyFill="1" applyBorder="1" applyAlignment="1">
      <alignment horizontal="center" vertical="center"/>
    </xf>
    <xf numFmtId="0" fontId="3" fillId="2" borderId="2" xfId="3" applyFont="1" applyFill="1" applyBorder="1" applyAlignment="1">
      <alignment horizontal="center" vertical="center"/>
    </xf>
    <xf numFmtId="0" fontId="3" fillId="2" borderId="3" xfId="3"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4" borderId="6" xfId="4" applyFont="1" applyFill="1" applyBorder="1" applyAlignment="1" applyProtection="1">
      <alignment horizontal="center" vertical="center"/>
      <protection locked="0"/>
    </xf>
    <xf numFmtId="0" fontId="3" fillId="4" borderId="11" xfId="4" applyFont="1" applyFill="1" applyBorder="1" applyAlignment="1" applyProtection="1">
      <alignment horizontal="center" vertical="center"/>
      <protection locked="0"/>
    </xf>
    <xf numFmtId="0" fontId="9" fillId="0" borderId="13" xfId="9" applyFont="1" applyBorder="1" applyAlignment="1">
      <alignment horizontal="left" vertical="center"/>
    </xf>
    <xf numFmtId="0" fontId="9" fillId="0" borderId="14" xfId="9" applyFont="1" applyBorder="1" applyAlignment="1">
      <alignment horizontal="left" vertical="center"/>
    </xf>
    <xf numFmtId="0" fontId="9" fillId="0" borderId="15" xfId="9" applyFont="1" applyBorder="1" applyAlignment="1">
      <alignment horizontal="left" vertical="center"/>
    </xf>
    <xf numFmtId="0" fontId="9" fillId="0" borderId="9" xfId="0" applyFont="1" applyBorder="1" applyAlignment="1">
      <alignment horizontal="center"/>
    </xf>
    <xf numFmtId="0" fontId="9" fillId="0" borderId="10" xfId="0" applyFont="1" applyBorder="1" applyAlignment="1">
      <alignment horizontal="center"/>
    </xf>
    <xf numFmtId="0" fontId="9" fillId="0" borderId="12" xfId="0" applyFont="1" applyBorder="1" applyAlignment="1">
      <alignment horizontal="center"/>
    </xf>
  </cellXfs>
  <cellStyles count="12">
    <cellStyle name="_Amar's Vehicle_Audit_Report_auto_july_agt_06_Nasik Auto Jan. 07_cv_PIVOT 1_SERIES 2" xfId="7" xr:uid="{80A8BD56-6ED2-42AB-AA86-B312A219BC06}"/>
    <cellStyle name="_Budg based on trend 1_CPC-RPC BSC SEPT-06_Book6_Branch_Metrics_CPA_Final_APR 09  BM UPLOAD_2" xfId="6" xr:uid="{28E173ED-E52B-43E0-9A01-6200B33124B0}"/>
    <cellStyle name="DataPilot Category" xfId="3" xr:uid="{C2EC733E-5CFA-407E-B51E-3AC609C5D00F}"/>
    <cellStyle name="Good" xfId="2" builtinId="26"/>
    <cellStyle name="Normal" xfId="0" builtinId="0"/>
    <cellStyle name="Normal 12" xfId="9" xr:uid="{FFDD31A4-3149-42E5-96DD-6A6E1E53F612}"/>
    <cellStyle name="Normal 2" xfId="5" xr:uid="{A6F519D4-B5BB-4C5C-BDDC-95796F400E88}"/>
    <cellStyle name="Normal 2 3" xfId="11" xr:uid="{F3E4BDBD-6E3C-4888-B20F-65F67C3D77BC}"/>
    <cellStyle name="Normal 3" xfId="10" xr:uid="{42B7EA57-F015-484E-8E89-09920FFF5840}"/>
    <cellStyle name="Normal_DM_1" xfId="4" xr:uid="{47B18B6C-E73C-4527-9963-C930DB66557B}"/>
    <cellStyle name="Normal_Sheet1" xfId="8" xr:uid="{09FDA902-1D9B-48A7-B13B-EDDE10EE22BC}"/>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682D-8C31-499F-9FB4-3DECD3A3C123}">
  <sheetPr codeName="Sheet1"/>
  <dimension ref="B1:K33"/>
  <sheetViews>
    <sheetView showGridLines="0" tabSelected="1" workbookViewId="0"/>
  </sheetViews>
  <sheetFormatPr defaultColWidth="9.109375" defaultRowHeight="13.8" x14ac:dyDescent="0.3"/>
  <cols>
    <col min="1" max="1" width="1.88671875" style="1" customWidth="1"/>
    <col min="2" max="2" width="38.33203125" style="1" bestFit="1" customWidth="1"/>
    <col min="3" max="3" width="39.6640625" style="1" customWidth="1"/>
    <col min="4" max="4" width="46.6640625" style="1" bestFit="1" customWidth="1"/>
    <col min="5" max="5" width="43.44140625" style="1" customWidth="1"/>
    <col min="6" max="6" width="22.109375" style="1" bestFit="1" customWidth="1"/>
    <col min="7" max="7" width="69.44140625" style="1" customWidth="1"/>
    <col min="8" max="11" width="7.109375" style="1" bestFit="1" customWidth="1"/>
    <col min="12" max="16384" width="9.109375" style="1"/>
  </cols>
  <sheetData>
    <row r="1" spans="2:11" ht="14.4" thickBot="1" x14ac:dyDescent="0.35"/>
    <row r="2" spans="2:11" ht="14.4" thickBot="1" x14ac:dyDescent="0.35">
      <c r="B2" s="148" t="s">
        <v>0</v>
      </c>
      <c r="C2" s="149"/>
      <c r="D2" s="149"/>
      <c r="E2" s="149"/>
      <c r="F2" s="149"/>
      <c r="G2" s="150"/>
    </row>
    <row r="5" spans="2:11" x14ac:dyDescent="0.3">
      <c r="B5" s="2" t="s">
        <v>1</v>
      </c>
      <c r="C5" s="3" t="s">
        <v>2</v>
      </c>
      <c r="G5" s="4"/>
    </row>
    <row r="6" spans="2:11" ht="15.9" customHeight="1" x14ac:dyDescent="0.3">
      <c r="B6" s="2" t="s">
        <v>3</v>
      </c>
      <c r="C6" s="3"/>
      <c r="D6" s="2" t="s">
        <v>4</v>
      </c>
      <c r="E6" s="3"/>
      <c r="F6" s="2" t="s">
        <v>5</v>
      </c>
      <c r="G6" s="3"/>
      <c r="H6" s="1" t="s">
        <v>6</v>
      </c>
    </row>
    <row r="7" spans="2:11" ht="15.9" customHeight="1" x14ac:dyDescent="0.3">
      <c r="B7" s="2" t="s">
        <v>7</v>
      </c>
      <c r="C7" s="5"/>
      <c r="D7" s="2" t="s">
        <v>8</v>
      </c>
      <c r="E7" s="3"/>
      <c r="F7" s="2" t="s">
        <v>9</v>
      </c>
      <c r="G7" s="144" t="s">
        <v>314</v>
      </c>
    </row>
    <row r="8" spans="2:11" ht="15.9" customHeight="1" x14ac:dyDescent="0.3">
      <c r="B8" s="2" t="s">
        <v>10</v>
      </c>
      <c r="C8" s="3"/>
      <c r="D8" s="2" t="s">
        <v>11</v>
      </c>
      <c r="E8" s="3"/>
      <c r="F8" s="2" t="s">
        <v>12</v>
      </c>
      <c r="G8" s="3"/>
      <c r="H8" s="1" t="s">
        <v>6</v>
      </c>
    </row>
    <row r="9" spans="2:11" ht="15.9" customHeight="1" x14ac:dyDescent="0.3">
      <c r="B9" s="2" t="s">
        <v>13</v>
      </c>
      <c r="C9" s="3"/>
      <c r="D9" s="2" t="s">
        <v>14</v>
      </c>
      <c r="E9" s="3" t="s">
        <v>71</v>
      </c>
    </row>
    <row r="10" spans="2:11" ht="15.9" customHeight="1" x14ac:dyDescent="0.3">
      <c r="B10" s="2" t="s">
        <v>15</v>
      </c>
      <c r="C10" s="3" t="s">
        <v>280</v>
      </c>
      <c r="D10" s="2" t="s">
        <v>16</v>
      </c>
      <c r="E10" s="3"/>
      <c r="F10" s="6" t="s">
        <v>6</v>
      </c>
      <c r="G10" s="4"/>
    </row>
    <row r="11" spans="2:11" x14ac:dyDescent="0.3">
      <c r="B11" s="7"/>
      <c r="C11" s="7"/>
      <c r="D11" s="7"/>
      <c r="E11" s="7"/>
      <c r="F11" s="7"/>
      <c r="G11" s="7"/>
    </row>
    <row r="12" spans="2:11" x14ac:dyDescent="0.3">
      <c r="B12" s="7"/>
      <c r="C12" s="7"/>
      <c r="D12" s="7"/>
      <c r="E12" s="7"/>
      <c r="F12" s="7"/>
      <c r="G12" s="7"/>
    </row>
    <row r="13" spans="2:11" ht="14.4" thickBot="1" x14ac:dyDescent="0.35">
      <c r="B13" s="8" t="s">
        <v>17</v>
      </c>
      <c r="C13" s="7"/>
      <c r="D13" s="7"/>
      <c r="E13" s="7"/>
      <c r="F13" s="7"/>
      <c r="G13" s="7"/>
      <c r="H13" s="9"/>
      <c r="I13" s="9"/>
      <c r="J13" s="9"/>
      <c r="K13" s="9"/>
    </row>
    <row r="14" spans="2:11" x14ac:dyDescent="0.3">
      <c r="B14" s="151" t="s">
        <v>18</v>
      </c>
      <c r="C14" s="145" t="s">
        <v>19</v>
      </c>
      <c r="D14" s="145" t="s">
        <v>20</v>
      </c>
      <c r="E14" s="145" t="s">
        <v>21</v>
      </c>
      <c r="F14" s="145" t="s">
        <v>22</v>
      </c>
      <c r="G14" s="10"/>
      <c r="H14" s="10"/>
      <c r="I14" s="10"/>
      <c r="J14" s="10"/>
      <c r="K14" s="10"/>
    </row>
    <row r="15" spans="2:11" x14ac:dyDescent="0.3">
      <c r="B15" s="152"/>
      <c r="C15" s="146"/>
      <c r="D15" s="146"/>
      <c r="E15" s="146"/>
      <c r="F15" s="146"/>
      <c r="G15" s="11"/>
      <c r="H15" s="11"/>
      <c r="I15" s="11"/>
      <c r="J15" s="11"/>
      <c r="K15" s="11"/>
    </row>
    <row r="16" spans="2:11" x14ac:dyDescent="0.3">
      <c r="B16" s="12" t="s">
        <v>23</v>
      </c>
      <c r="C16" s="13">
        <f>Agency!J29</f>
        <v>30</v>
      </c>
      <c r="D16" s="13">
        <v>30</v>
      </c>
      <c r="E16" s="14">
        <f t="shared" ref="E16:E21" si="0">C16/D16</f>
        <v>1</v>
      </c>
      <c r="F16" s="15"/>
    </row>
    <row r="17" spans="2:6" x14ac:dyDescent="0.3">
      <c r="B17" s="12" t="s">
        <v>24</v>
      </c>
      <c r="C17" s="13">
        <f>Agency!J47</f>
        <v>30</v>
      </c>
      <c r="D17" s="13">
        <v>30</v>
      </c>
      <c r="E17" s="14">
        <f t="shared" si="0"/>
        <v>1</v>
      </c>
      <c r="F17" s="15"/>
    </row>
    <row r="18" spans="2:6" x14ac:dyDescent="0.3">
      <c r="B18" s="12" t="s">
        <v>25</v>
      </c>
      <c r="C18" s="13">
        <f>Agency!J58</f>
        <v>30</v>
      </c>
      <c r="D18" s="13">
        <v>30</v>
      </c>
      <c r="E18" s="14">
        <f t="shared" si="0"/>
        <v>1</v>
      </c>
      <c r="F18" s="15"/>
    </row>
    <row r="19" spans="2:6" x14ac:dyDescent="0.3">
      <c r="B19" s="12" t="s">
        <v>26</v>
      </c>
      <c r="C19" s="13">
        <f>Agency!J61</f>
        <v>5</v>
      </c>
      <c r="D19" s="13">
        <v>5</v>
      </c>
      <c r="E19" s="14">
        <f t="shared" si="0"/>
        <v>1</v>
      </c>
      <c r="F19" s="15"/>
    </row>
    <row r="20" spans="2:6" ht="14.4" thickBot="1" x14ac:dyDescent="0.35">
      <c r="B20" s="12" t="s">
        <v>27</v>
      </c>
      <c r="C20" s="13">
        <f>Agency!J69</f>
        <v>5</v>
      </c>
      <c r="D20" s="13">
        <v>5</v>
      </c>
      <c r="E20" s="14">
        <f t="shared" si="0"/>
        <v>1</v>
      </c>
      <c r="F20" s="15"/>
    </row>
    <row r="21" spans="2:6" x14ac:dyDescent="0.3">
      <c r="B21" s="12" t="s">
        <v>28</v>
      </c>
      <c r="C21" s="16">
        <f>SUM(C16:C20)</f>
        <v>100</v>
      </c>
      <c r="D21" s="16">
        <f>SUM(D16:D20)</f>
        <v>100</v>
      </c>
      <c r="E21" s="17">
        <f t="shared" si="0"/>
        <v>1</v>
      </c>
      <c r="F21" s="145" t="str">
        <f>IF(ROUNDUP(E21,2)&lt;60%,"C",IF(ROUNDUP(E21,2)&lt;70%,"C+",IF(ROUNDUP(E21,2)&lt;80%,"B",IF(ROUNDUP(E21,2)&lt;90%,"B+",IF(ROUNDUP(E21,2)&lt;100%,"A","A+")))))</f>
        <v>A+</v>
      </c>
    </row>
    <row r="22" spans="2:6" ht="14.4" thickBot="1" x14ac:dyDescent="0.35">
      <c r="B22" s="18" t="s">
        <v>29</v>
      </c>
      <c r="C22" s="147" t="str">
        <f>VLOOKUP($F$21,$C$27:$D$33,2,FALSE)</f>
        <v>Excellent</v>
      </c>
      <c r="D22" s="147"/>
      <c r="E22" s="147"/>
      <c r="F22" s="146"/>
    </row>
    <row r="26" spans="2:6" x14ac:dyDescent="0.3">
      <c r="B26" s="19" t="s">
        <v>30</v>
      </c>
      <c r="C26" s="20"/>
      <c r="D26" s="20"/>
    </row>
    <row r="27" spans="2:6" x14ac:dyDescent="0.3">
      <c r="B27" s="21" t="s">
        <v>31</v>
      </c>
      <c r="C27" s="21" t="s">
        <v>22</v>
      </c>
      <c r="D27" s="21" t="s">
        <v>32</v>
      </c>
    </row>
    <row r="28" spans="2:6" x14ac:dyDescent="0.3">
      <c r="B28" s="22">
        <v>100</v>
      </c>
      <c r="C28" s="23" t="s">
        <v>33</v>
      </c>
      <c r="D28" s="24" t="s">
        <v>34</v>
      </c>
    </row>
    <row r="29" spans="2:6" x14ac:dyDescent="0.3">
      <c r="B29" s="24" t="s">
        <v>35</v>
      </c>
      <c r="C29" s="23" t="s">
        <v>36</v>
      </c>
      <c r="D29" s="24" t="s">
        <v>37</v>
      </c>
    </row>
    <row r="30" spans="2:6" x14ac:dyDescent="0.3">
      <c r="B30" s="24" t="s">
        <v>38</v>
      </c>
      <c r="C30" s="23" t="s">
        <v>39</v>
      </c>
      <c r="D30" s="24" t="s">
        <v>40</v>
      </c>
    </row>
    <row r="31" spans="2:6" x14ac:dyDescent="0.3">
      <c r="B31" s="24" t="s">
        <v>41</v>
      </c>
      <c r="C31" s="23" t="s">
        <v>42</v>
      </c>
      <c r="D31" s="24" t="s">
        <v>43</v>
      </c>
    </row>
    <row r="32" spans="2:6" x14ac:dyDescent="0.3">
      <c r="B32" s="24" t="s">
        <v>44</v>
      </c>
      <c r="C32" s="23" t="s">
        <v>45</v>
      </c>
      <c r="D32" s="24" t="s">
        <v>46</v>
      </c>
    </row>
    <row r="33" spans="2:4" x14ac:dyDescent="0.3">
      <c r="B33" s="24" t="s">
        <v>47</v>
      </c>
      <c r="C33" s="23" t="s">
        <v>48</v>
      </c>
      <c r="D33" s="24" t="s">
        <v>49</v>
      </c>
    </row>
  </sheetData>
  <mergeCells count="8">
    <mergeCell ref="F21:F22"/>
    <mergeCell ref="C22:E22"/>
    <mergeCell ref="B2:G2"/>
    <mergeCell ref="B14:B15"/>
    <mergeCell ref="C14:C15"/>
    <mergeCell ref="D14:D15"/>
    <mergeCell ref="E14:E15"/>
    <mergeCell ref="F14:F1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F79A9-AAFD-4D81-A36D-D1E2C7B7DE92}">
  <sheetPr codeName="Sheet2"/>
  <dimension ref="A1:O69"/>
  <sheetViews>
    <sheetView zoomScale="90" zoomScaleNormal="90" workbookViewId="0">
      <pane ySplit="1" topLeftCell="A2" activePane="bottomLeft" state="frozen"/>
      <selection activeCell="A83" sqref="A83"/>
      <selection pane="bottomLeft"/>
    </sheetView>
  </sheetViews>
  <sheetFormatPr defaultColWidth="21.5546875" defaultRowHeight="13.2" x14ac:dyDescent="0.25"/>
  <cols>
    <col min="1" max="1" width="9.109375" style="97" bestFit="1" customWidth="1"/>
    <col min="2" max="2" width="22.6640625" style="70" bestFit="1" customWidth="1"/>
    <col min="3" max="3" width="20.44140625" style="47" customWidth="1"/>
    <col min="4" max="4" width="9.88671875" style="98" bestFit="1" customWidth="1"/>
    <col min="5" max="5" width="37.5546875" style="47" customWidth="1"/>
    <col min="6" max="6" width="42.6640625" style="47" customWidth="1"/>
    <col min="7" max="7" width="16.88671875" style="47" bestFit="1" customWidth="1"/>
    <col min="8" max="8" width="14.44140625" style="47" bestFit="1" customWidth="1"/>
    <col min="9" max="9" width="11.44140625" style="47" bestFit="1" customWidth="1"/>
    <col min="10" max="10" width="10.6640625" style="47" bestFit="1" customWidth="1"/>
    <col min="11" max="11" width="28.6640625" style="47" customWidth="1"/>
    <col min="12" max="12" width="49" style="47" customWidth="1"/>
    <col min="13" max="13" width="20.88671875" style="47" customWidth="1"/>
    <col min="14" max="14" width="21.5546875" style="47" bestFit="1" customWidth="1"/>
    <col min="15" max="15" width="11.33203125" style="47" bestFit="1" customWidth="1"/>
    <col min="16" max="16384" width="21.5546875" style="47"/>
  </cols>
  <sheetData>
    <row r="1" spans="1:15" s="29" customFormat="1" ht="24" x14ac:dyDescent="0.25">
      <c r="A1" s="25" t="s">
        <v>50</v>
      </c>
      <c r="B1" s="26" t="s">
        <v>51</v>
      </c>
      <c r="C1" s="26" t="s">
        <v>52</v>
      </c>
      <c r="D1" s="26" t="s">
        <v>53</v>
      </c>
      <c r="E1" s="26" t="s">
        <v>54</v>
      </c>
      <c r="F1" s="26" t="s">
        <v>55</v>
      </c>
      <c r="G1" s="26" t="s">
        <v>56</v>
      </c>
      <c r="H1" s="26" t="s">
        <v>57</v>
      </c>
      <c r="I1" s="26" t="s">
        <v>58</v>
      </c>
      <c r="J1" s="26" t="s">
        <v>31</v>
      </c>
      <c r="K1" s="26" t="s">
        <v>59</v>
      </c>
      <c r="L1" s="26" t="s">
        <v>60</v>
      </c>
      <c r="M1" s="26" t="s">
        <v>61</v>
      </c>
      <c r="N1" s="27" t="s">
        <v>62</v>
      </c>
      <c r="O1" s="28" t="s">
        <v>63</v>
      </c>
    </row>
    <row r="2" spans="1:15" s="41" customFormat="1" ht="66" x14ac:dyDescent="0.25">
      <c r="A2" s="30">
        <v>1</v>
      </c>
      <c r="B2" s="31" t="s">
        <v>64</v>
      </c>
      <c r="C2" s="32" t="s">
        <v>65</v>
      </c>
      <c r="D2" s="32" t="s">
        <v>66</v>
      </c>
      <c r="E2" s="33" t="s">
        <v>67</v>
      </c>
      <c r="F2" s="34" t="s">
        <v>68</v>
      </c>
      <c r="G2" s="35" t="s">
        <v>69</v>
      </c>
      <c r="H2" s="36" t="s">
        <v>70</v>
      </c>
      <c r="I2" s="37" t="s">
        <v>71</v>
      </c>
      <c r="J2" s="38">
        <f>IF(H2="NA","NA",IF(H2="Yes",10,0))</f>
        <v>10</v>
      </c>
      <c r="K2" s="33" t="s">
        <v>72</v>
      </c>
      <c r="L2" s="39" t="s">
        <v>301</v>
      </c>
      <c r="M2" s="33"/>
      <c r="N2" s="33"/>
      <c r="O2" s="40"/>
    </row>
    <row r="3" spans="1:15" s="41" customFormat="1" ht="66" x14ac:dyDescent="0.25">
      <c r="A3" s="30">
        <v>2</v>
      </c>
      <c r="B3" s="31" t="s">
        <v>64</v>
      </c>
      <c r="C3" s="32" t="s">
        <v>65</v>
      </c>
      <c r="D3" s="32" t="s">
        <v>66</v>
      </c>
      <c r="E3" s="33" t="s">
        <v>67</v>
      </c>
      <c r="F3" s="34" t="s">
        <v>73</v>
      </c>
      <c r="G3" s="35" t="s">
        <v>69</v>
      </c>
      <c r="H3" s="36" t="s">
        <v>70</v>
      </c>
      <c r="I3" s="37" t="s">
        <v>71</v>
      </c>
      <c r="J3" s="38">
        <f t="shared" ref="J3:J5" si="0">IF(H3="NA","NA",IF(H3="Yes",10,0))</f>
        <v>10</v>
      </c>
      <c r="K3" s="33" t="s">
        <v>72</v>
      </c>
      <c r="L3" s="39" t="s">
        <v>302</v>
      </c>
      <c r="M3" s="33"/>
      <c r="N3" s="33"/>
      <c r="O3" s="40"/>
    </row>
    <row r="4" spans="1:15" s="41" customFormat="1" ht="66" x14ac:dyDescent="0.25">
      <c r="A4" s="30">
        <v>3</v>
      </c>
      <c r="B4" s="31" t="s">
        <v>64</v>
      </c>
      <c r="C4" s="32" t="s">
        <v>65</v>
      </c>
      <c r="D4" s="32" t="s">
        <v>66</v>
      </c>
      <c r="E4" s="33" t="s">
        <v>67</v>
      </c>
      <c r="F4" s="34" t="s">
        <v>74</v>
      </c>
      <c r="G4" s="35" t="s">
        <v>69</v>
      </c>
      <c r="H4" s="36" t="s">
        <v>70</v>
      </c>
      <c r="I4" s="37" t="s">
        <v>71</v>
      </c>
      <c r="J4" s="38">
        <f t="shared" si="0"/>
        <v>10</v>
      </c>
      <c r="K4" s="33" t="s">
        <v>72</v>
      </c>
      <c r="L4" s="39" t="s">
        <v>299</v>
      </c>
      <c r="M4" s="33"/>
      <c r="N4" s="33"/>
      <c r="O4" s="40"/>
    </row>
    <row r="5" spans="1:15" s="41" customFormat="1" ht="66" x14ac:dyDescent="0.25">
      <c r="A5" s="30">
        <v>4</v>
      </c>
      <c r="B5" s="31" t="s">
        <v>64</v>
      </c>
      <c r="C5" s="32" t="s">
        <v>65</v>
      </c>
      <c r="D5" s="32" t="s">
        <v>66</v>
      </c>
      <c r="E5" s="33" t="s">
        <v>67</v>
      </c>
      <c r="F5" s="34" t="s">
        <v>75</v>
      </c>
      <c r="G5" s="35" t="s">
        <v>69</v>
      </c>
      <c r="H5" s="36" t="s">
        <v>70</v>
      </c>
      <c r="I5" s="37" t="s">
        <v>71</v>
      </c>
      <c r="J5" s="38">
        <f t="shared" si="0"/>
        <v>10</v>
      </c>
      <c r="K5" s="33" t="s">
        <v>72</v>
      </c>
      <c r="L5" s="39" t="s">
        <v>300</v>
      </c>
      <c r="M5" s="33"/>
      <c r="N5" s="33"/>
      <c r="O5" s="40"/>
    </row>
    <row r="6" spans="1:15" s="41" customFormat="1" ht="39.6" x14ac:dyDescent="0.25">
      <c r="A6" s="30">
        <v>5</v>
      </c>
      <c r="B6" s="31" t="s">
        <v>76</v>
      </c>
      <c r="C6" s="32" t="s">
        <v>77</v>
      </c>
      <c r="D6" s="32" t="s">
        <v>66</v>
      </c>
      <c r="E6" s="33" t="s">
        <v>78</v>
      </c>
      <c r="F6" s="34" t="s">
        <v>79</v>
      </c>
      <c r="G6" s="35" t="s">
        <v>80</v>
      </c>
      <c r="H6" s="36" t="s">
        <v>70</v>
      </c>
      <c r="I6" s="37" t="s">
        <v>71</v>
      </c>
      <c r="J6" s="38">
        <f t="shared" ref="J6:J15" si="1">IF(H6="NA","NA",IF(H6="Yes",10,IF(I6=1,8,IF(I6=2,6,IF(I6=3,4,IF(I6=4,2,IF(I6&gt;=4,0)))))))</f>
        <v>10</v>
      </c>
      <c r="K6" s="33"/>
      <c r="L6" s="42" t="s">
        <v>309</v>
      </c>
      <c r="M6" s="33"/>
      <c r="N6" s="33"/>
      <c r="O6" s="40"/>
    </row>
    <row r="7" spans="1:15" s="41" customFormat="1" ht="39.6" x14ac:dyDescent="0.25">
      <c r="A7" s="30">
        <v>6</v>
      </c>
      <c r="B7" s="31" t="s">
        <v>76</v>
      </c>
      <c r="C7" s="32" t="s">
        <v>77</v>
      </c>
      <c r="D7" s="32" t="s">
        <v>66</v>
      </c>
      <c r="E7" s="33" t="s">
        <v>78</v>
      </c>
      <c r="F7" s="34" t="s">
        <v>81</v>
      </c>
      <c r="G7" s="35" t="s">
        <v>80</v>
      </c>
      <c r="H7" s="36" t="s">
        <v>70</v>
      </c>
      <c r="I7" s="37" t="s">
        <v>71</v>
      </c>
      <c r="J7" s="38">
        <f t="shared" si="1"/>
        <v>10</v>
      </c>
      <c r="K7" s="33"/>
      <c r="L7" s="42" t="s">
        <v>309</v>
      </c>
      <c r="M7" s="33"/>
      <c r="N7" s="33"/>
      <c r="O7" s="40"/>
    </row>
    <row r="8" spans="1:15" s="41" customFormat="1" ht="39.6" x14ac:dyDescent="0.25">
      <c r="A8" s="30">
        <v>7</v>
      </c>
      <c r="B8" s="31" t="s">
        <v>76</v>
      </c>
      <c r="C8" s="32" t="s">
        <v>77</v>
      </c>
      <c r="D8" s="32" t="s">
        <v>66</v>
      </c>
      <c r="E8" s="33" t="s">
        <v>78</v>
      </c>
      <c r="F8" s="34" t="s">
        <v>82</v>
      </c>
      <c r="G8" s="35" t="s">
        <v>80</v>
      </c>
      <c r="H8" s="36" t="s">
        <v>70</v>
      </c>
      <c r="I8" s="37" t="s">
        <v>71</v>
      </c>
      <c r="J8" s="38">
        <f t="shared" si="1"/>
        <v>10</v>
      </c>
      <c r="K8" s="33"/>
      <c r="L8" s="42" t="s">
        <v>309</v>
      </c>
      <c r="M8" s="33"/>
      <c r="N8" s="33"/>
      <c r="O8" s="40"/>
    </row>
    <row r="9" spans="1:15" s="41" customFormat="1" ht="39.6" x14ac:dyDescent="0.25">
      <c r="A9" s="30">
        <v>8</v>
      </c>
      <c r="B9" s="31" t="s">
        <v>76</v>
      </c>
      <c r="C9" s="32" t="s">
        <v>77</v>
      </c>
      <c r="D9" s="32" t="s">
        <v>66</v>
      </c>
      <c r="E9" s="33" t="s">
        <v>78</v>
      </c>
      <c r="F9" s="34" t="s">
        <v>83</v>
      </c>
      <c r="G9" s="35" t="s">
        <v>80</v>
      </c>
      <c r="H9" s="36" t="s">
        <v>70</v>
      </c>
      <c r="I9" s="37" t="s">
        <v>71</v>
      </c>
      <c r="J9" s="38">
        <f t="shared" si="1"/>
        <v>10</v>
      </c>
      <c r="K9" s="33"/>
      <c r="L9" s="42" t="s">
        <v>309</v>
      </c>
      <c r="M9" s="33"/>
      <c r="N9" s="33"/>
      <c r="O9" s="40"/>
    </row>
    <row r="10" spans="1:15" s="41" customFormat="1" ht="39.6" x14ac:dyDescent="0.25">
      <c r="A10" s="30">
        <v>9</v>
      </c>
      <c r="B10" s="31" t="s">
        <v>76</v>
      </c>
      <c r="C10" s="32" t="s">
        <v>77</v>
      </c>
      <c r="D10" s="32" t="s">
        <v>66</v>
      </c>
      <c r="E10" s="33" t="s">
        <v>78</v>
      </c>
      <c r="F10" s="34" t="s">
        <v>84</v>
      </c>
      <c r="G10" s="35" t="s">
        <v>80</v>
      </c>
      <c r="H10" s="36" t="s">
        <v>70</v>
      </c>
      <c r="I10" s="37" t="s">
        <v>71</v>
      </c>
      <c r="J10" s="38">
        <f t="shared" si="1"/>
        <v>10</v>
      </c>
      <c r="K10" s="33"/>
      <c r="L10" s="42" t="s">
        <v>309</v>
      </c>
      <c r="M10" s="33"/>
      <c r="N10" s="33"/>
      <c r="O10" s="40"/>
    </row>
    <row r="11" spans="1:15" s="41" customFormat="1" ht="39.6" x14ac:dyDescent="0.25">
      <c r="A11" s="30">
        <v>10</v>
      </c>
      <c r="B11" s="31" t="s">
        <v>76</v>
      </c>
      <c r="C11" s="32" t="s">
        <v>77</v>
      </c>
      <c r="D11" s="32" t="s">
        <v>66</v>
      </c>
      <c r="E11" s="33" t="s">
        <v>78</v>
      </c>
      <c r="F11" s="34" t="s">
        <v>85</v>
      </c>
      <c r="G11" s="35" t="s">
        <v>80</v>
      </c>
      <c r="H11" s="36" t="s">
        <v>70</v>
      </c>
      <c r="I11" s="37" t="s">
        <v>71</v>
      </c>
      <c r="J11" s="38">
        <f t="shared" si="1"/>
        <v>10</v>
      </c>
      <c r="K11" s="33"/>
      <c r="L11" s="42" t="s">
        <v>309</v>
      </c>
      <c r="M11" s="33"/>
      <c r="N11" s="33"/>
      <c r="O11" s="40"/>
    </row>
    <row r="12" spans="1:15" s="41" customFormat="1" ht="39.6" x14ac:dyDescent="0.25">
      <c r="A12" s="30">
        <v>11</v>
      </c>
      <c r="B12" s="31" t="s">
        <v>76</v>
      </c>
      <c r="C12" s="32" t="s">
        <v>77</v>
      </c>
      <c r="D12" s="32" t="s">
        <v>66</v>
      </c>
      <c r="E12" s="33" t="s">
        <v>78</v>
      </c>
      <c r="F12" s="34" t="s">
        <v>86</v>
      </c>
      <c r="G12" s="35" t="s">
        <v>80</v>
      </c>
      <c r="H12" s="36" t="s">
        <v>71</v>
      </c>
      <c r="I12" s="37" t="s">
        <v>71</v>
      </c>
      <c r="J12" s="38" t="str">
        <f t="shared" si="1"/>
        <v>NA</v>
      </c>
      <c r="K12" s="33"/>
      <c r="L12" s="42" t="s">
        <v>283</v>
      </c>
      <c r="M12" s="33"/>
      <c r="N12" s="33"/>
      <c r="O12" s="40"/>
    </row>
    <row r="13" spans="1:15" s="41" customFormat="1" ht="39.6" x14ac:dyDescent="0.25">
      <c r="A13" s="30">
        <v>12</v>
      </c>
      <c r="B13" s="31" t="s">
        <v>76</v>
      </c>
      <c r="C13" s="32" t="s">
        <v>77</v>
      </c>
      <c r="D13" s="32" t="s">
        <v>66</v>
      </c>
      <c r="E13" s="33" t="s">
        <v>78</v>
      </c>
      <c r="F13" s="34" t="s">
        <v>87</v>
      </c>
      <c r="G13" s="35" t="s">
        <v>80</v>
      </c>
      <c r="H13" s="36" t="s">
        <v>70</v>
      </c>
      <c r="I13" s="37" t="s">
        <v>71</v>
      </c>
      <c r="J13" s="38">
        <f t="shared" si="1"/>
        <v>10</v>
      </c>
      <c r="K13" s="33"/>
      <c r="L13" s="42" t="s">
        <v>309</v>
      </c>
      <c r="M13" s="33"/>
      <c r="N13" s="33"/>
      <c r="O13" s="40"/>
    </row>
    <row r="14" spans="1:15" s="41" customFormat="1" ht="39.6" x14ac:dyDescent="0.25">
      <c r="A14" s="30">
        <v>13</v>
      </c>
      <c r="B14" s="31" t="s">
        <v>76</v>
      </c>
      <c r="C14" s="32" t="s">
        <v>77</v>
      </c>
      <c r="D14" s="32" t="s">
        <v>66</v>
      </c>
      <c r="E14" s="33" t="s">
        <v>78</v>
      </c>
      <c r="F14" s="34" t="s">
        <v>88</v>
      </c>
      <c r="G14" s="35" t="s">
        <v>80</v>
      </c>
      <c r="H14" s="36" t="s">
        <v>70</v>
      </c>
      <c r="I14" s="37" t="s">
        <v>71</v>
      </c>
      <c r="J14" s="38">
        <f t="shared" si="1"/>
        <v>10</v>
      </c>
      <c r="K14" s="33"/>
      <c r="L14" s="42" t="s">
        <v>309</v>
      </c>
      <c r="M14" s="33"/>
      <c r="N14" s="33"/>
      <c r="O14" s="40"/>
    </row>
    <row r="15" spans="1:15" s="41" customFormat="1" ht="39.6" x14ac:dyDescent="0.25">
      <c r="A15" s="30">
        <v>14</v>
      </c>
      <c r="B15" s="31" t="s">
        <v>76</v>
      </c>
      <c r="C15" s="32" t="s">
        <v>77</v>
      </c>
      <c r="D15" s="32" t="s">
        <v>66</v>
      </c>
      <c r="E15" s="33" t="s">
        <v>78</v>
      </c>
      <c r="F15" s="34" t="s">
        <v>89</v>
      </c>
      <c r="G15" s="35" t="s">
        <v>80</v>
      </c>
      <c r="H15" s="36" t="s">
        <v>71</v>
      </c>
      <c r="I15" s="37" t="s">
        <v>71</v>
      </c>
      <c r="J15" s="38" t="str">
        <f t="shared" si="1"/>
        <v>NA</v>
      </c>
      <c r="K15" s="33"/>
      <c r="L15" s="42" t="s">
        <v>304</v>
      </c>
      <c r="M15" s="33"/>
      <c r="N15" s="33"/>
      <c r="O15" s="40"/>
    </row>
    <row r="16" spans="1:15" ht="66" x14ac:dyDescent="0.3">
      <c r="A16" s="30">
        <v>15</v>
      </c>
      <c r="B16" s="31" t="s">
        <v>76</v>
      </c>
      <c r="C16" s="43" t="s">
        <v>90</v>
      </c>
      <c r="D16" s="43" t="s">
        <v>91</v>
      </c>
      <c r="E16" s="42" t="s">
        <v>92</v>
      </c>
      <c r="F16" s="44" t="s">
        <v>93</v>
      </c>
      <c r="G16" s="35" t="s">
        <v>69</v>
      </c>
      <c r="H16" s="36" t="s">
        <v>70</v>
      </c>
      <c r="I16" s="37" t="s">
        <v>71</v>
      </c>
      <c r="J16" s="38">
        <f>IF(H16="NA","NA",IF(H16="Yes",10,0))</f>
        <v>10</v>
      </c>
      <c r="K16" s="45"/>
      <c r="L16" s="42" t="s">
        <v>309</v>
      </c>
      <c r="M16" s="42"/>
      <c r="N16" s="42"/>
      <c r="O16" s="40"/>
    </row>
    <row r="17" spans="1:15" ht="52.8" x14ac:dyDescent="0.25">
      <c r="A17" s="30">
        <v>16</v>
      </c>
      <c r="B17" s="31" t="s">
        <v>76</v>
      </c>
      <c r="C17" s="32" t="s">
        <v>94</v>
      </c>
      <c r="D17" s="32" t="s">
        <v>95</v>
      </c>
      <c r="E17" s="42" t="s">
        <v>96</v>
      </c>
      <c r="F17" s="48" t="s">
        <v>97</v>
      </c>
      <c r="G17" s="42" t="s">
        <v>98</v>
      </c>
      <c r="H17" s="36" t="s">
        <v>71</v>
      </c>
      <c r="I17" s="36" t="s">
        <v>71</v>
      </c>
      <c r="J17" s="49" t="str">
        <f>IF(H17="NA","NA",IF(H17="Yes",10,IF(I17=1,5,0)))</f>
        <v>NA</v>
      </c>
      <c r="K17" s="50"/>
      <c r="L17" s="42" t="s">
        <v>283</v>
      </c>
      <c r="M17" s="42"/>
      <c r="N17" s="42"/>
      <c r="O17" s="40"/>
    </row>
    <row r="18" spans="1:15" ht="66" x14ac:dyDescent="0.25">
      <c r="A18" s="30">
        <v>17</v>
      </c>
      <c r="B18" s="31" t="s">
        <v>76</v>
      </c>
      <c r="C18" s="32" t="s">
        <v>94</v>
      </c>
      <c r="D18" s="32" t="s">
        <v>95</v>
      </c>
      <c r="E18" s="42" t="s">
        <v>96</v>
      </c>
      <c r="F18" s="48" t="s">
        <v>99</v>
      </c>
      <c r="G18" s="42" t="s">
        <v>98</v>
      </c>
      <c r="H18" s="36" t="s">
        <v>71</v>
      </c>
      <c r="I18" s="36" t="s">
        <v>71</v>
      </c>
      <c r="J18" s="49" t="str">
        <f t="shared" ref="J18" si="2">IF(H18="NA","NA",IF(H18="Yes",10,IF(I18=1,5,0)))</f>
        <v>NA</v>
      </c>
      <c r="K18" s="50"/>
      <c r="L18" s="42" t="s">
        <v>283</v>
      </c>
      <c r="M18" s="42"/>
      <c r="N18" s="42"/>
      <c r="O18" s="40"/>
    </row>
    <row r="19" spans="1:15" ht="105.6" x14ac:dyDescent="0.25">
      <c r="A19" s="30">
        <v>18</v>
      </c>
      <c r="B19" s="31" t="s">
        <v>100</v>
      </c>
      <c r="C19" s="32" t="s">
        <v>94</v>
      </c>
      <c r="D19" s="32" t="s">
        <v>95</v>
      </c>
      <c r="E19" s="51" t="s">
        <v>101</v>
      </c>
      <c r="F19" s="42" t="s">
        <v>102</v>
      </c>
      <c r="G19" s="51" t="s">
        <v>103</v>
      </c>
      <c r="H19" s="52" t="s">
        <v>71</v>
      </c>
      <c r="I19" s="52" t="s">
        <v>71</v>
      </c>
      <c r="J19" s="53" t="str">
        <f>IF(H19="NA","NA",IF(H19="Yes",10,IF(H19="Critical",-10,IF(I19=1,-2,IF(I19=2,-4,IF(I19=3,-6,IF(I19=4,-8,-10)))))))</f>
        <v>NA</v>
      </c>
      <c r="K19" s="54" t="s">
        <v>104</v>
      </c>
      <c r="L19" s="46" t="s">
        <v>281</v>
      </c>
      <c r="M19" s="42"/>
      <c r="N19" s="42"/>
      <c r="O19" s="40"/>
    </row>
    <row r="20" spans="1:15" ht="250.8" x14ac:dyDescent="0.25">
      <c r="A20" s="30">
        <v>19</v>
      </c>
      <c r="B20" s="31" t="s">
        <v>100</v>
      </c>
      <c r="C20" s="55" t="s">
        <v>105</v>
      </c>
      <c r="D20" s="55" t="s">
        <v>66</v>
      </c>
      <c r="E20" s="51" t="s">
        <v>106</v>
      </c>
      <c r="F20" s="51" t="s">
        <v>274</v>
      </c>
      <c r="G20" s="35" t="s">
        <v>69</v>
      </c>
      <c r="H20" s="36" t="s">
        <v>71</v>
      </c>
      <c r="I20" s="37" t="s">
        <v>71</v>
      </c>
      <c r="J20" s="38" t="str">
        <f t="shared" ref="J20:J25" si="3">IF(H20="NA","NA",IF(H20="Yes",10,0))</f>
        <v>NA</v>
      </c>
      <c r="K20" s="56"/>
      <c r="L20" s="46" t="s">
        <v>281</v>
      </c>
      <c r="M20" s="51"/>
      <c r="N20" s="51"/>
      <c r="O20" s="57"/>
    </row>
    <row r="21" spans="1:15" ht="250.8" x14ac:dyDescent="0.25">
      <c r="A21" s="30">
        <v>20</v>
      </c>
      <c r="B21" s="31" t="s">
        <v>100</v>
      </c>
      <c r="C21" s="55" t="s">
        <v>105</v>
      </c>
      <c r="D21" s="55" t="s">
        <v>66</v>
      </c>
      <c r="E21" s="51" t="s">
        <v>106</v>
      </c>
      <c r="F21" s="51" t="s">
        <v>275</v>
      </c>
      <c r="G21" s="35" t="s">
        <v>69</v>
      </c>
      <c r="H21" s="36" t="s">
        <v>71</v>
      </c>
      <c r="I21" s="37" t="s">
        <v>71</v>
      </c>
      <c r="J21" s="38" t="str">
        <f t="shared" si="3"/>
        <v>NA</v>
      </c>
      <c r="K21" s="56"/>
      <c r="L21" s="46" t="s">
        <v>281</v>
      </c>
      <c r="M21" s="51"/>
      <c r="N21" s="51"/>
      <c r="O21" s="57"/>
    </row>
    <row r="22" spans="1:15" ht="250.8" x14ac:dyDescent="0.25">
      <c r="A22" s="30">
        <v>21</v>
      </c>
      <c r="B22" s="31" t="s">
        <v>100</v>
      </c>
      <c r="C22" s="55" t="s">
        <v>105</v>
      </c>
      <c r="D22" s="55" t="s">
        <v>66</v>
      </c>
      <c r="E22" s="51" t="s">
        <v>106</v>
      </c>
      <c r="F22" s="51" t="s">
        <v>276</v>
      </c>
      <c r="G22" s="35" t="s">
        <v>69</v>
      </c>
      <c r="H22" s="36" t="s">
        <v>71</v>
      </c>
      <c r="I22" s="37" t="s">
        <v>71</v>
      </c>
      <c r="J22" s="38" t="str">
        <f t="shared" si="3"/>
        <v>NA</v>
      </c>
      <c r="K22" s="56"/>
      <c r="L22" s="46" t="s">
        <v>281</v>
      </c>
      <c r="M22" s="51"/>
      <c r="N22" s="51"/>
      <c r="O22" s="57"/>
    </row>
    <row r="23" spans="1:15" ht="250.8" x14ac:dyDescent="0.25">
      <c r="A23" s="30">
        <v>22</v>
      </c>
      <c r="B23" s="31" t="s">
        <v>100</v>
      </c>
      <c r="C23" s="55" t="s">
        <v>105</v>
      </c>
      <c r="D23" s="55" t="s">
        <v>66</v>
      </c>
      <c r="E23" s="51" t="s">
        <v>106</v>
      </c>
      <c r="F23" s="51" t="s">
        <v>277</v>
      </c>
      <c r="G23" s="35" t="s">
        <v>69</v>
      </c>
      <c r="H23" s="36" t="s">
        <v>71</v>
      </c>
      <c r="I23" s="37" t="s">
        <v>71</v>
      </c>
      <c r="J23" s="38" t="str">
        <f t="shared" si="3"/>
        <v>NA</v>
      </c>
      <c r="K23" s="56"/>
      <c r="L23" s="46" t="s">
        <v>281</v>
      </c>
      <c r="M23" s="51"/>
      <c r="N23" s="51"/>
      <c r="O23" s="57"/>
    </row>
    <row r="24" spans="1:15" ht="250.8" x14ac:dyDescent="0.25">
      <c r="A24" s="30">
        <v>23</v>
      </c>
      <c r="B24" s="31" t="s">
        <v>100</v>
      </c>
      <c r="C24" s="55" t="s">
        <v>105</v>
      </c>
      <c r="D24" s="55" t="s">
        <v>66</v>
      </c>
      <c r="E24" s="51" t="s">
        <v>106</v>
      </c>
      <c r="F24" s="51" t="s">
        <v>278</v>
      </c>
      <c r="G24" s="35" t="s">
        <v>69</v>
      </c>
      <c r="H24" s="36" t="s">
        <v>71</v>
      </c>
      <c r="I24" s="37" t="s">
        <v>71</v>
      </c>
      <c r="J24" s="38" t="str">
        <f t="shared" si="3"/>
        <v>NA</v>
      </c>
      <c r="K24" s="56"/>
      <c r="L24" s="46" t="s">
        <v>281</v>
      </c>
      <c r="M24" s="51"/>
      <c r="N24" s="51"/>
      <c r="O24" s="57"/>
    </row>
    <row r="25" spans="1:15" ht="250.8" x14ac:dyDescent="0.25">
      <c r="A25" s="30">
        <v>24</v>
      </c>
      <c r="B25" s="31" t="s">
        <v>100</v>
      </c>
      <c r="C25" s="55" t="s">
        <v>105</v>
      </c>
      <c r="D25" s="55" t="s">
        <v>66</v>
      </c>
      <c r="E25" s="51" t="s">
        <v>106</v>
      </c>
      <c r="F25" s="51" t="s">
        <v>279</v>
      </c>
      <c r="G25" s="35" t="s">
        <v>69</v>
      </c>
      <c r="H25" s="36" t="s">
        <v>71</v>
      </c>
      <c r="I25" s="37" t="s">
        <v>71</v>
      </c>
      <c r="J25" s="38" t="str">
        <f t="shared" si="3"/>
        <v>NA</v>
      </c>
      <c r="K25" s="56"/>
      <c r="L25" s="46" t="s">
        <v>281</v>
      </c>
      <c r="M25" s="51"/>
      <c r="N25" s="51"/>
      <c r="O25" s="57"/>
    </row>
    <row r="26" spans="1:15" ht="39.6" x14ac:dyDescent="0.25">
      <c r="A26" s="30">
        <v>25</v>
      </c>
      <c r="B26" s="31" t="s">
        <v>107</v>
      </c>
      <c r="C26" s="55" t="s">
        <v>108</v>
      </c>
      <c r="D26" s="55" t="s">
        <v>66</v>
      </c>
      <c r="E26" s="51" t="s">
        <v>109</v>
      </c>
      <c r="F26" s="51" t="s">
        <v>110</v>
      </c>
      <c r="G26" s="51" t="s">
        <v>111</v>
      </c>
      <c r="H26" s="52" t="s">
        <v>70</v>
      </c>
      <c r="I26" s="52" t="s">
        <v>71</v>
      </c>
      <c r="J26" s="53">
        <f>IF(H26="NA","NA",IF(H26="Yes",10,IF(I26=1,-2,IF(I26=2,-4,IF(I26=3,-6,IF(I26=4,-8,-10))))))</f>
        <v>10</v>
      </c>
      <c r="K26" s="56"/>
      <c r="L26" s="58" t="s">
        <v>284</v>
      </c>
      <c r="M26" s="58"/>
      <c r="N26" s="58"/>
      <c r="O26" s="57"/>
    </row>
    <row r="27" spans="1:15" ht="39.6" x14ac:dyDescent="0.25">
      <c r="A27" s="30">
        <v>26</v>
      </c>
      <c r="B27" s="31" t="s">
        <v>112</v>
      </c>
      <c r="C27" s="55" t="s">
        <v>113</v>
      </c>
      <c r="D27" s="55" t="s">
        <v>66</v>
      </c>
      <c r="E27" s="51" t="s">
        <v>114</v>
      </c>
      <c r="F27" s="51" t="s">
        <v>115</v>
      </c>
      <c r="G27" s="51" t="s">
        <v>111</v>
      </c>
      <c r="H27" s="52" t="s">
        <v>70</v>
      </c>
      <c r="I27" s="52" t="s">
        <v>71</v>
      </c>
      <c r="J27" s="53">
        <f>IF(H27="NA","NA",IF(H27="Yes",10,IF(I27=1,-2,IF(I27=2,-4,IF(I27=3,-6,IF(I27=4,-8,-10))))))</f>
        <v>10</v>
      </c>
      <c r="K27" s="54" t="s">
        <v>6</v>
      </c>
      <c r="L27" s="51" t="s">
        <v>285</v>
      </c>
      <c r="M27" s="51"/>
      <c r="N27" s="51"/>
      <c r="O27" s="57"/>
    </row>
    <row r="28" spans="1:15" ht="52.8" x14ac:dyDescent="0.25">
      <c r="A28" s="30">
        <v>27</v>
      </c>
      <c r="B28" s="31" t="s">
        <v>107</v>
      </c>
      <c r="C28" s="55" t="s">
        <v>108</v>
      </c>
      <c r="D28" s="55" t="s">
        <v>66</v>
      </c>
      <c r="E28" s="42" t="s">
        <v>116</v>
      </c>
      <c r="F28" s="42" t="s">
        <v>116</v>
      </c>
      <c r="G28" s="35" t="s">
        <v>80</v>
      </c>
      <c r="H28" s="52" t="s">
        <v>71</v>
      </c>
      <c r="I28" s="52" t="s">
        <v>71</v>
      </c>
      <c r="J28" s="59" t="str">
        <f>IF(H28="NA","NA",IF(H28="Yes",10,IF(I28=1,8,IF(I28=2,6,IF(I28=3,4,IF(I28=4,2,0))))))</f>
        <v>NA</v>
      </c>
      <c r="K28" s="58" t="s">
        <v>6</v>
      </c>
      <c r="L28" s="60" t="s">
        <v>286</v>
      </c>
      <c r="M28" s="60"/>
      <c r="N28" s="60"/>
      <c r="O28" s="57"/>
    </row>
    <row r="29" spans="1:15" s="70" customFormat="1" x14ac:dyDescent="0.25">
      <c r="A29" s="61" t="s">
        <v>36</v>
      </c>
      <c r="B29" s="62"/>
      <c r="C29" s="63"/>
      <c r="D29" s="63"/>
      <c r="E29" s="64" t="s">
        <v>117</v>
      </c>
      <c r="F29" s="64"/>
      <c r="G29" s="64"/>
      <c r="H29" s="65"/>
      <c r="I29" s="66"/>
      <c r="J29" s="67">
        <f>(SUM(J2:J28)/(COUNT(J2:J28)*10)*30)</f>
        <v>30</v>
      </c>
      <c r="K29" s="64"/>
      <c r="L29" s="68"/>
      <c r="M29" s="68"/>
      <c r="N29" s="68"/>
      <c r="O29" s="69"/>
    </row>
    <row r="30" spans="1:15" s="70" customFormat="1" ht="66" x14ac:dyDescent="0.25">
      <c r="A30" s="71">
        <v>28</v>
      </c>
      <c r="B30" s="72" t="s">
        <v>118</v>
      </c>
      <c r="C30" s="55" t="s">
        <v>119</v>
      </c>
      <c r="D30" s="55" t="s">
        <v>95</v>
      </c>
      <c r="E30" s="51" t="s">
        <v>120</v>
      </c>
      <c r="F30" s="73" t="s">
        <v>121</v>
      </c>
      <c r="G30" s="51" t="s">
        <v>111</v>
      </c>
      <c r="H30" s="52" t="s">
        <v>70</v>
      </c>
      <c r="I30" s="52" t="s">
        <v>71</v>
      </c>
      <c r="J30" s="53">
        <f>IF(H30="NA","NA",IF(H30="Yes",10,IF(I30=1,-2,IF(I30=2,-4,IF(I30=3,-6,IF(I30=4,-8,-10))))))</f>
        <v>10</v>
      </c>
      <c r="K30" s="51"/>
      <c r="L30" s="51" t="s">
        <v>282</v>
      </c>
      <c r="M30" s="51"/>
      <c r="N30" s="51"/>
      <c r="O30" s="57"/>
    </row>
    <row r="31" spans="1:15" s="70" customFormat="1" ht="66" x14ac:dyDescent="0.25">
      <c r="A31" s="71">
        <v>29</v>
      </c>
      <c r="B31" s="72" t="s">
        <v>118</v>
      </c>
      <c r="C31" s="55" t="s">
        <v>119</v>
      </c>
      <c r="D31" s="55" t="s">
        <v>95</v>
      </c>
      <c r="E31" s="51" t="s">
        <v>120</v>
      </c>
      <c r="F31" s="73" t="s">
        <v>122</v>
      </c>
      <c r="G31" s="51" t="s">
        <v>111</v>
      </c>
      <c r="H31" s="52" t="s">
        <v>70</v>
      </c>
      <c r="I31" s="52" t="s">
        <v>71</v>
      </c>
      <c r="J31" s="53">
        <f>IF(H31="NA","NA",IF(H31="Yes",10,IF(I31=1,-2,IF(I31=2,-4,IF(I31=3,-6,IF(I31=4,-8,-10))))))</f>
        <v>10</v>
      </c>
      <c r="K31" s="51"/>
      <c r="L31" s="51" t="s">
        <v>282</v>
      </c>
      <c r="M31" s="51"/>
      <c r="N31" s="51"/>
      <c r="O31" s="57"/>
    </row>
    <row r="32" spans="1:15" s="70" customFormat="1" ht="92.4" x14ac:dyDescent="0.25">
      <c r="A32" s="71">
        <v>30</v>
      </c>
      <c r="B32" s="72" t="s">
        <v>118</v>
      </c>
      <c r="C32" s="32" t="s">
        <v>123</v>
      </c>
      <c r="D32" s="55" t="s">
        <v>66</v>
      </c>
      <c r="E32" s="51" t="s">
        <v>124</v>
      </c>
      <c r="F32" s="42" t="s">
        <v>125</v>
      </c>
      <c r="G32" s="51" t="s">
        <v>111</v>
      </c>
      <c r="H32" s="52" t="s">
        <v>70</v>
      </c>
      <c r="I32" s="52" t="s">
        <v>71</v>
      </c>
      <c r="J32" s="53">
        <f>IF(H32="NA","NA",IF(H32="Yes",10,IF(I32=1,-2,IF(I32=2,-4,IF(I32=3,-6,IF(I32=4,-8,-10))))))</f>
        <v>10</v>
      </c>
      <c r="K32" s="42" t="s">
        <v>126</v>
      </c>
      <c r="L32" s="51" t="s">
        <v>282</v>
      </c>
      <c r="M32" s="51"/>
      <c r="N32" s="51"/>
      <c r="O32" s="57"/>
    </row>
    <row r="33" spans="1:15" s="74" customFormat="1" ht="66" x14ac:dyDescent="0.25">
      <c r="A33" s="71">
        <v>31</v>
      </c>
      <c r="B33" s="72" t="s">
        <v>118</v>
      </c>
      <c r="C33" s="55" t="s">
        <v>127</v>
      </c>
      <c r="D33" s="55" t="s">
        <v>66</v>
      </c>
      <c r="E33" s="42" t="s">
        <v>128</v>
      </c>
      <c r="F33" s="50" t="s">
        <v>129</v>
      </c>
      <c r="G33" s="35" t="s">
        <v>80</v>
      </c>
      <c r="H33" s="52" t="s">
        <v>71</v>
      </c>
      <c r="I33" s="52" t="s">
        <v>71</v>
      </c>
      <c r="J33" s="59" t="str">
        <f t="shared" ref="J33" si="4">IF(H33="NA","NA",IF(H33="Yes",10,IF(I33=1,8,IF(I33=2,6,IF(I33=3,4,IF(I33=4,2,0))))))</f>
        <v>NA</v>
      </c>
      <c r="K33" s="33"/>
      <c r="L33" s="51" t="s">
        <v>281</v>
      </c>
      <c r="M33" s="42"/>
      <c r="N33" s="42"/>
      <c r="O33" s="40"/>
    </row>
    <row r="34" spans="1:15" s="74" customFormat="1" ht="66" x14ac:dyDescent="0.25">
      <c r="A34" s="71">
        <v>32</v>
      </c>
      <c r="B34" s="72" t="s">
        <v>118</v>
      </c>
      <c r="C34" s="55" t="s">
        <v>127</v>
      </c>
      <c r="D34" s="55" t="s">
        <v>66</v>
      </c>
      <c r="E34" s="42" t="s">
        <v>128</v>
      </c>
      <c r="F34" s="42" t="s">
        <v>273</v>
      </c>
      <c r="G34" s="35" t="s">
        <v>80</v>
      </c>
      <c r="H34" s="52" t="s">
        <v>71</v>
      </c>
      <c r="I34" s="52" t="s">
        <v>71</v>
      </c>
      <c r="J34" s="59" t="str">
        <f t="shared" ref="J34:J35" si="5">IF(H34="NA","NA",IF(H34="Yes",10,IF(I34=1,8,IF(I34=2,6,IF(I34=3,4,IF(I34=4,2,0))))))</f>
        <v>NA</v>
      </c>
      <c r="K34" s="33"/>
      <c r="L34" s="51" t="s">
        <v>281</v>
      </c>
      <c r="M34" s="42"/>
      <c r="N34" s="42"/>
      <c r="O34" s="40"/>
    </row>
    <row r="35" spans="1:15" s="74" customFormat="1" ht="66" x14ac:dyDescent="0.25">
      <c r="A35" s="71">
        <v>33</v>
      </c>
      <c r="B35" s="72" t="s">
        <v>118</v>
      </c>
      <c r="C35" s="32" t="s">
        <v>130</v>
      </c>
      <c r="D35" s="55" t="s">
        <v>66</v>
      </c>
      <c r="E35" s="50" t="s">
        <v>131</v>
      </c>
      <c r="F35" s="42" t="s">
        <v>132</v>
      </c>
      <c r="G35" s="35" t="s">
        <v>80</v>
      </c>
      <c r="H35" s="52" t="s">
        <v>70</v>
      </c>
      <c r="I35" s="52" t="s">
        <v>71</v>
      </c>
      <c r="J35" s="59">
        <f t="shared" si="5"/>
        <v>10</v>
      </c>
      <c r="K35" s="42" t="s">
        <v>133</v>
      </c>
      <c r="L35" s="51" t="s">
        <v>303</v>
      </c>
      <c r="M35" s="33"/>
      <c r="N35" s="33"/>
      <c r="O35" s="40"/>
    </row>
    <row r="36" spans="1:15" s="74" customFormat="1" ht="52.8" x14ac:dyDescent="0.25">
      <c r="A36" s="71">
        <v>34</v>
      </c>
      <c r="B36" s="72" t="s">
        <v>118</v>
      </c>
      <c r="C36" s="55" t="s">
        <v>134</v>
      </c>
      <c r="D36" s="55" t="s">
        <v>66</v>
      </c>
      <c r="E36" s="42" t="s">
        <v>135</v>
      </c>
      <c r="F36" s="50" t="s">
        <v>136</v>
      </c>
      <c r="G36" s="35" t="s">
        <v>137</v>
      </c>
      <c r="H36" s="37" t="s">
        <v>70</v>
      </c>
      <c r="I36" s="37" t="s">
        <v>71</v>
      </c>
      <c r="J36" s="37">
        <f>IF(H36="NA","NA",IF(H36="Yes",10,IF(H36="critical",-10,0)))</f>
        <v>10</v>
      </c>
      <c r="K36" s="42"/>
      <c r="L36" s="42" t="s">
        <v>282</v>
      </c>
      <c r="M36" s="42"/>
      <c r="N36" s="42"/>
      <c r="O36" s="40"/>
    </row>
    <row r="37" spans="1:15" s="74" customFormat="1" ht="184.8" x14ac:dyDescent="0.25">
      <c r="A37" s="71">
        <v>35</v>
      </c>
      <c r="B37" s="72" t="s">
        <v>138</v>
      </c>
      <c r="C37" s="55" t="s">
        <v>139</v>
      </c>
      <c r="D37" s="55" t="s">
        <v>66</v>
      </c>
      <c r="E37" s="42" t="s">
        <v>140</v>
      </c>
      <c r="F37" s="42" t="s">
        <v>141</v>
      </c>
      <c r="G37" s="51" t="s">
        <v>111</v>
      </c>
      <c r="H37" s="52" t="s">
        <v>70</v>
      </c>
      <c r="I37" s="52" t="s">
        <v>71</v>
      </c>
      <c r="J37" s="53">
        <f>IF(H37="NA","NA",IF(H37="Yes",10,IF(I37=1,-2,IF(I37=2,-4,IF(I37=3,-6,IF(I37=4,-8,-10))))))</f>
        <v>10</v>
      </c>
      <c r="K37" s="45" t="s">
        <v>142</v>
      </c>
      <c r="L37" s="51" t="s">
        <v>310</v>
      </c>
      <c r="M37" s="33"/>
      <c r="N37" s="33"/>
      <c r="O37" s="40"/>
    </row>
    <row r="38" spans="1:15" s="74" customFormat="1" ht="26.4" x14ac:dyDescent="0.25">
      <c r="A38" s="71">
        <v>36</v>
      </c>
      <c r="B38" s="72" t="s">
        <v>138</v>
      </c>
      <c r="C38" s="55" t="s">
        <v>143</v>
      </c>
      <c r="D38" s="55" t="s">
        <v>95</v>
      </c>
      <c r="E38" s="50" t="s">
        <v>144</v>
      </c>
      <c r="F38" s="48" t="s">
        <v>145</v>
      </c>
      <c r="G38" s="35" t="s">
        <v>146</v>
      </c>
      <c r="H38" s="37" t="s">
        <v>70</v>
      </c>
      <c r="I38" s="37" t="s">
        <v>71</v>
      </c>
      <c r="J38" s="37">
        <f>IF(H38="NA","NA",IF(H38="Critical",-10,IF(H38="Yes",10,IF(I38=1,-2,IF(I38=2,-4,IF(I38=3,-6,IF(I38=4,-8,-10)))))))</f>
        <v>10</v>
      </c>
      <c r="K38" s="51"/>
      <c r="L38" s="33" t="s">
        <v>305</v>
      </c>
      <c r="M38" s="33"/>
      <c r="N38" s="33"/>
      <c r="O38" s="40"/>
    </row>
    <row r="39" spans="1:15" s="74" customFormat="1" ht="26.4" x14ac:dyDescent="0.25">
      <c r="A39" s="71">
        <v>37</v>
      </c>
      <c r="B39" s="72" t="s">
        <v>138</v>
      </c>
      <c r="C39" s="55" t="s">
        <v>143</v>
      </c>
      <c r="D39" s="55" t="s">
        <v>95</v>
      </c>
      <c r="E39" s="50" t="s">
        <v>144</v>
      </c>
      <c r="F39" s="48" t="s">
        <v>147</v>
      </c>
      <c r="G39" s="35" t="s">
        <v>146</v>
      </c>
      <c r="H39" s="37" t="s">
        <v>70</v>
      </c>
      <c r="I39" s="37" t="s">
        <v>71</v>
      </c>
      <c r="J39" s="37">
        <f t="shared" ref="J39:J41" si="6">IF(H39="NA","NA",IF(H39="Critical",-10,IF(H39="Yes",10,IF(I39=1,-2,IF(I39=2,-4,IF(I39=3,-6,IF(I39=4,-8,-10)))))))</f>
        <v>10</v>
      </c>
      <c r="K39" s="51"/>
      <c r="L39" s="33" t="s">
        <v>306</v>
      </c>
      <c r="M39" s="33"/>
      <c r="N39" s="33"/>
      <c r="O39" s="40"/>
    </row>
    <row r="40" spans="1:15" s="74" customFormat="1" ht="36" x14ac:dyDescent="0.25">
      <c r="A40" s="71">
        <v>38</v>
      </c>
      <c r="B40" s="72" t="s">
        <v>138</v>
      </c>
      <c r="C40" s="55" t="s">
        <v>143</v>
      </c>
      <c r="D40" s="55" t="s">
        <v>95</v>
      </c>
      <c r="E40" s="50" t="s">
        <v>144</v>
      </c>
      <c r="F40" s="75" t="s">
        <v>148</v>
      </c>
      <c r="G40" s="35" t="s">
        <v>146</v>
      </c>
      <c r="H40" s="52" t="s">
        <v>70</v>
      </c>
      <c r="I40" s="52" t="s">
        <v>71</v>
      </c>
      <c r="J40" s="37">
        <f t="shared" si="6"/>
        <v>10</v>
      </c>
      <c r="K40" s="51"/>
      <c r="L40" s="33" t="s">
        <v>311</v>
      </c>
      <c r="M40" s="33"/>
      <c r="N40" s="33"/>
      <c r="O40" s="40"/>
    </row>
    <row r="41" spans="1:15" s="74" customFormat="1" ht="26.4" x14ac:dyDescent="0.25">
      <c r="A41" s="71">
        <v>39</v>
      </c>
      <c r="B41" s="72" t="s">
        <v>138</v>
      </c>
      <c r="C41" s="55" t="s">
        <v>143</v>
      </c>
      <c r="D41" s="55" t="s">
        <v>95</v>
      </c>
      <c r="E41" s="50" t="s">
        <v>144</v>
      </c>
      <c r="F41" s="75" t="s">
        <v>149</v>
      </c>
      <c r="G41" s="35" t="s">
        <v>146</v>
      </c>
      <c r="H41" s="52" t="s">
        <v>70</v>
      </c>
      <c r="I41" s="52" t="s">
        <v>71</v>
      </c>
      <c r="J41" s="37">
        <f t="shared" si="6"/>
        <v>10</v>
      </c>
      <c r="K41" s="51"/>
      <c r="L41" s="33" t="s">
        <v>312</v>
      </c>
      <c r="M41" s="33"/>
      <c r="N41" s="33"/>
      <c r="O41" s="40"/>
    </row>
    <row r="42" spans="1:15" s="74" customFormat="1" ht="79.2" x14ac:dyDescent="0.25">
      <c r="A42" s="71">
        <v>40</v>
      </c>
      <c r="B42" s="72" t="s">
        <v>138</v>
      </c>
      <c r="C42" s="55" t="s">
        <v>143</v>
      </c>
      <c r="D42" s="55" t="s">
        <v>91</v>
      </c>
      <c r="E42" s="42" t="s">
        <v>150</v>
      </c>
      <c r="F42" s="42" t="s">
        <v>151</v>
      </c>
      <c r="G42" s="42" t="s">
        <v>152</v>
      </c>
      <c r="H42" s="37" t="s">
        <v>70</v>
      </c>
      <c r="I42" s="37" t="s">
        <v>71</v>
      </c>
      <c r="J42" s="37">
        <f>IF(H42="NA","NA",IF(H42="Critical",-10,IF(H42="Yes",10,IF(I42=1,-2,IF(I42=2,-4,IF(I42=3,-6,IF(I42=4,-8,-10)))))))</f>
        <v>10</v>
      </c>
      <c r="K42" s="45" t="s">
        <v>153</v>
      </c>
      <c r="L42" s="33" t="s">
        <v>287</v>
      </c>
      <c r="M42" s="42"/>
      <c r="N42" s="42"/>
      <c r="O42" s="40"/>
    </row>
    <row r="43" spans="1:15" s="74" customFormat="1" ht="39.6" x14ac:dyDescent="0.25">
      <c r="A43" s="71">
        <v>41</v>
      </c>
      <c r="B43" s="72" t="s">
        <v>154</v>
      </c>
      <c r="C43" s="55" t="s">
        <v>155</v>
      </c>
      <c r="D43" s="55" t="s">
        <v>95</v>
      </c>
      <c r="E43" s="42" t="s">
        <v>156</v>
      </c>
      <c r="F43" s="48" t="s">
        <v>157</v>
      </c>
      <c r="G43" s="35" t="s">
        <v>146</v>
      </c>
      <c r="H43" s="37" t="s">
        <v>70</v>
      </c>
      <c r="I43" s="37" t="s">
        <v>71</v>
      </c>
      <c r="J43" s="37">
        <f t="shared" ref="J43:J46" si="7">IF(H43="NA","NA",IF(H43="Critical",-10,IF(H43="Yes",10,IF(I43=1,-2,IF(I43=2,-4,IF(I43=3,-6,IF(I43=4,-8,-10)))))))</f>
        <v>10</v>
      </c>
      <c r="K43" s="51" t="s">
        <v>158</v>
      </c>
      <c r="L43" s="42" t="s">
        <v>288</v>
      </c>
      <c r="M43" s="42"/>
      <c r="N43" s="42"/>
      <c r="O43" s="40"/>
    </row>
    <row r="44" spans="1:15" s="74" customFormat="1" ht="39.6" x14ac:dyDescent="0.25">
      <c r="A44" s="71">
        <v>42</v>
      </c>
      <c r="B44" s="72" t="s">
        <v>154</v>
      </c>
      <c r="C44" s="55" t="s">
        <v>155</v>
      </c>
      <c r="D44" s="55" t="s">
        <v>95</v>
      </c>
      <c r="E44" s="42" t="s">
        <v>156</v>
      </c>
      <c r="F44" s="48" t="s">
        <v>159</v>
      </c>
      <c r="G44" s="35" t="s">
        <v>146</v>
      </c>
      <c r="H44" s="37" t="s">
        <v>70</v>
      </c>
      <c r="I44" s="37" t="s">
        <v>71</v>
      </c>
      <c r="J44" s="37">
        <f t="shared" si="7"/>
        <v>10</v>
      </c>
      <c r="K44" s="51" t="s">
        <v>158</v>
      </c>
      <c r="L44" s="42" t="s">
        <v>307</v>
      </c>
      <c r="M44" s="42"/>
      <c r="N44" s="42"/>
      <c r="O44" s="40"/>
    </row>
    <row r="45" spans="1:15" s="74" customFormat="1" ht="79.2" x14ac:dyDescent="0.25">
      <c r="A45" s="71">
        <v>43</v>
      </c>
      <c r="B45" s="72" t="s">
        <v>160</v>
      </c>
      <c r="C45" s="55" t="s">
        <v>161</v>
      </c>
      <c r="D45" s="55" t="s">
        <v>95</v>
      </c>
      <c r="E45" s="42" t="s">
        <v>162</v>
      </c>
      <c r="F45" s="48" t="s">
        <v>163</v>
      </c>
      <c r="G45" s="35" t="s">
        <v>146</v>
      </c>
      <c r="H45" s="37" t="s">
        <v>70</v>
      </c>
      <c r="I45" s="37" t="s">
        <v>71</v>
      </c>
      <c r="J45" s="37">
        <f t="shared" si="7"/>
        <v>10</v>
      </c>
      <c r="K45" s="45" t="s">
        <v>164</v>
      </c>
      <c r="L45" s="42" t="s">
        <v>289</v>
      </c>
      <c r="M45" s="42"/>
      <c r="N45" s="42"/>
      <c r="O45" s="40"/>
    </row>
    <row r="46" spans="1:15" s="74" customFormat="1" ht="79.2" x14ac:dyDescent="0.25">
      <c r="A46" s="71">
        <v>44</v>
      </c>
      <c r="B46" s="72" t="s">
        <v>160</v>
      </c>
      <c r="C46" s="55" t="s">
        <v>161</v>
      </c>
      <c r="D46" s="55" t="s">
        <v>95</v>
      </c>
      <c r="E46" s="42" t="s">
        <v>162</v>
      </c>
      <c r="F46" s="48" t="s">
        <v>159</v>
      </c>
      <c r="G46" s="35" t="s">
        <v>146</v>
      </c>
      <c r="H46" s="37" t="s">
        <v>70</v>
      </c>
      <c r="I46" s="37" t="s">
        <v>71</v>
      </c>
      <c r="J46" s="37">
        <f t="shared" si="7"/>
        <v>10</v>
      </c>
      <c r="K46" s="45" t="s">
        <v>164</v>
      </c>
      <c r="L46" s="42" t="s">
        <v>308</v>
      </c>
      <c r="M46" s="42"/>
      <c r="N46" s="42"/>
      <c r="O46" s="40"/>
    </row>
    <row r="47" spans="1:15" s="76" customFormat="1" x14ac:dyDescent="0.25">
      <c r="A47" s="61" t="s">
        <v>42</v>
      </c>
      <c r="B47" s="62"/>
      <c r="C47" s="63"/>
      <c r="D47" s="63"/>
      <c r="E47" s="64" t="s">
        <v>117</v>
      </c>
      <c r="F47" s="64"/>
      <c r="G47" s="64"/>
      <c r="H47" s="65"/>
      <c r="I47" s="66"/>
      <c r="J47" s="66">
        <f>(SUM(J30:J46)/(COUNT(J30:J46)*10)*30)</f>
        <v>30</v>
      </c>
      <c r="K47" s="64"/>
      <c r="L47" s="68"/>
      <c r="M47" s="68"/>
      <c r="N47" s="68"/>
      <c r="O47" s="69"/>
    </row>
    <row r="48" spans="1:15" s="74" customFormat="1" ht="39.6" x14ac:dyDescent="0.3">
      <c r="A48" s="71">
        <v>45</v>
      </c>
      <c r="B48" s="72" t="s">
        <v>165</v>
      </c>
      <c r="C48" s="55" t="s">
        <v>166</v>
      </c>
      <c r="D48" s="55" t="s">
        <v>66</v>
      </c>
      <c r="E48" s="51" t="s">
        <v>167</v>
      </c>
      <c r="F48" s="77" t="s">
        <v>168</v>
      </c>
      <c r="G48" s="51" t="s">
        <v>169</v>
      </c>
      <c r="H48" s="78" t="s">
        <v>70</v>
      </c>
      <c r="I48" s="79" t="s">
        <v>71</v>
      </c>
      <c r="J48" s="78">
        <f>IF(H48="NA","NA",IF(H48="Yes",10,IF(I48=1,-5,IF(I48=2,-10,IF(I48=3,-15,-20)))))</f>
        <v>10</v>
      </c>
      <c r="K48" s="51" t="s">
        <v>170</v>
      </c>
      <c r="L48" s="51" t="s">
        <v>290</v>
      </c>
      <c r="M48" s="33"/>
      <c r="N48" s="33"/>
      <c r="O48" s="40"/>
    </row>
    <row r="49" spans="1:15" s="74" customFormat="1" ht="139.19999999999999" x14ac:dyDescent="0.25">
      <c r="A49" s="71">
        <v>46</v>
      </c>
      <c r="B49" s="72" t="s">
        <v>165</v>
      </c>
      <c r="C49" s="32" t="s">
        <v>166</v>
      </c>
      <c r="D49" s="32" t="s">
        <v>66</v>
      </c>
      <c r="E49" s="51" t="s">
        <v>171</v>
      </c>
      <c r="F49" s="45" t="s">
        <v>172</v>
      </c>
      <c r="G49" s="42" t="s">
        <v>173</v>
      </c>
      <c r="H49" s="80" t="s">
        <v>70</v>
      </c>
      <c r="I49" s="80" t="s">
        <v>71</v>
      </c>
      <c r="J49" s="80">
        <f t="shared" ref="J49" si="8">IF(H49="NA","NA",IF(H49="Yes",10,-10))</f>
        <v>10</v>
      </c>
      <c r="K49" s="45" t="s">
        <v>6</v>
      </c>
      <c r="L49" s="51" t="s">
        <v>282</v>
      </c>
      <c r="M49" s="33"/>
      <c r="N49" s="33"/>
      <c r="O49" s="40"/>
    </row>
    <row r="50" spans="1:15" s="74" customFormat="1" ht="52.8" x14ac:dyDescent="0.25">
      <c r="A50" s="71">
        <v>47</v>
      </c>
      <c r="B50" s="72" t="s">
        <v>165</v>
      </c>
      <c r="C50" s="55" t="s">
        <v>166</v>
      </c>
      <c r="D50" s="55" t="s">
        <v>66</v>
      </c>
      <c r="E50" s="51" t="s">
        <v>174</v>
      </c>
      <c r="F50" s="73" t="s">
        <v>175</v>
      </c>
      <c r="G50" s="51" t="s">
        <v>169</v>
      </c>
      <c r="H50" s="78" t="s">
        <v>70</v>
      </c>
      <c r="I50" s="79" t="s">
        <v>71</v>
      </c>
      <c r="J50" s="78">
        <f t="shared" ref="J50:J55" si="9">IF(H50="NA","NA",IF(H50="Yes",10,IF(I50=1,-5,IF(I50=2,-10,IF(I50=3,-15,-20)))))</f>
        <v>10</v>
      </c>
      <c r="K50" s="81" t="s">
        <v>6</v>
      </c>
      <c r="L50" s="51" t="s">
        <v>282</v>
      </c>
      <c r="M50" s="33"/>
      <c r="N50" s="33"/>
      <c r="O50" s="40"/>
    </row>
    <row r="51" spans="1:15" s="74" customFormat="1" ht="52.8" x14ac:dyDescent="0.25">
      <c r="A51" s="71">
        <v>48</v>
      </c>
      <c r="B51" s="72" t="s">
        <v>165</v>
      </c>
      <c r="C51" s="55" t="s">
        <v>166</v>
      </c>
      <c r="D51" s="55" t="s">
        <v>66</v>
      </c>
      <c r="E51" s="51" t="s">
        <v>174</v>
      </c>
      <c r="F51" s="73" t="s">
        <v>176</v>
      </c>
      <c r="G51" s="51" t="s">
        <v>169</v>
      </c>
      <c r="H51" s="78" t="s">
        <v>70</v>
      </c>
      <c r="I51" s="79" t="s">
        <v>71</v>
      </c>
      <c r="J51" s="78">
        <f t="shared" si="9"/>
        <v>10</v>
      </c>
      <c r="K51" s="81" t="s">
        <v>6</v>
      </c>
      <c r="L51" s="51" t="s">
        <v>282</v>
      </c>
      <c r="M51" s="33"/>
      <c r="N51" s="33"/>
      <c r="O51" s="40"/>
    </row>
    <row r="52" spans="1:15" s="74" customFormat="1" ht="52.8" x14ac:dyDescent="0.25">
      <c r="A52" s="71">
        <v>49</v>
      </c>
      <c r="B52" s="72" t="s">
        <v>165</v>
      </c>
      <c r="C52" s="55" t="s">
        <v>166</v>
      </c>
      <c r="D52" s="55" t="s">
        <v>66</v>
      </c>
      <c r="E52" s="51" t="s">
        <v>174</v>
      </c>
      <c r="F52" s="73" t="s">
        <v>177</v>
      </c>
      <c r="G52" s="51" t="s">
        <v>169</v>
      </c>
      <c r="H52" s="78" t="s">
        <v>70</v>
      </c>
      <c r="I52" s="79" t="s">
        <v>71</v>
      </c>
      <c r="J52" s="78">
        <f t="shared" si="9"/>
        <v>10</v>
      </c>
      <c r="K52" s="81" t="s">
        <v>6</v>
      </c>
      <c r="L52" s="51" t="s">
        <v>282</v>
      </c>
      <c r="M52" s="33"/>
      <c r="N52" s="33"/>
      <c r="O52" s="40"/>
    </row>
    <row r="53" spans="1:15" s="74" customFormat="1" ht="52.8" x14ac:dyDescent="0.25">
      <c r="A53" s="71">
        <v>50</v>
      </c>
      <c r="B53" s="72" t="s">
        <v>165</v>
      </c>
      <c r="C53" s="55" t="s">
        <v>166</v>
      </c>
      <c r="D53" s="55" t="s">
        <v>66</v>
      </c>
      <c r="E53" s="51" t="s">
        <v>174</v>
      </c>
      <c r="F53" s="73" t="s">
        <v>178</v>
      </c>
      <c r="G53" s="51" t="s">
        <v>169</v>
      </c>
      <c r="H53" s="78" t="s">
        <v>70</v>
      </c>
      <c r="I53" s="79" t="s">
        <v>71</v>
      </c>
      <c r="J53" s="78">
        <f t="shared" si="9"/>
        <v>10</v>
      </c>
      <c r="K53" s="81" t="s">
        <v>6</v>
      </c>
      <c r="L53" s="51" t="s">
        <v>282</v>
      </c>
      <c r="M53" s="33"/>
      <c r="N53" s="33"/>
      <c r="O53" s="40"/>
    </row>
    <row r="54" spans="1:15" s="74" customFormat="1" ht="52.8" x14ac:dyDescent="0.25">
      <c r="A54" s="71">
        <v>51</v>
      </c>
      <c r="B54" s="72" t="s">
        <v>165</v>
      </c>
      <c r="C54" s="55" t="s">
        <v>166</v>
      </c>
      <c r="D54" s="55" t="s">
        <v>66</v>
      </c>
      <c r="E54" s="51" t="s">
        <v>174</v>
      </c>
      <c r="F54" s="73" t="s">
        <v>179</v>
      </c>
      <c r="G54" s="51" t="s">
        <v>169</v>
      </c>
      <c r="H54" s="78" t="s">
        <v>70</v>
      </c>
      <c r="I54" s="79" t="s">
        <v>71</v>
      </c>
      <c r="J54" s="78">
        <f t="shared" si="9"/>
        <v>10</v>
      </c>
      <c r="K54" s="81" t="s">
        <v>6</v>
      </c>
      <c r="L54" s="51" t="s">
        <v>282</v>
      </c>
      <c r="M54" s="33"/>
      <c r="N54" s="33"/>
      <c r="O54" s="40"/>
    </row>
    <row r="55" spans="1:15" s="74" customFormat="1" ht="118.8" x14ac:dyDescent="0.3">
      <c r="A55" s="71">
        <v>52</v>
      </c>
      <c r="B55" s="72" t="s">
        <v>165</v>
      </c>
      <c r="C55" s="55" t="s">
        <v>166</v>
      </c>
      <c r="D55" s="55" t="s">
        <v>66</v>
      </c>
      <c r="E55" s="51" t="s">
        <v>180</v>
      </c>
      <c r="F55" s="77" t="s">
        <v>181</v>
      </c>
      <c r="G55" s="51" t="s">
        <v>169</v>
      </c>
      <c r="H55" s="78" t="s">
        <v>70</v>
      </c>
      <c r="I55" s="79" t="s">
        <v>71</v>
      </c>
      <c r="J55" s="78">
        <f t="shared" si="9"/>
        <v>10</v>
      </c>
      <c r="K55" s="81" t="s">
        <v>182</v>
      </c>
      <c r="L55" s="51" t="s">
        <v>282</v>
      </c>
      <c r="M55" s="33"/>
      <c r="N55" s="33"/>
      <c r="O55" s="40"/>
    </row>
    <row r="56" spans="1:15" s="74" customFormat="1" ht="171.6" x14ac:dyDescent="0.25">
      <c r="A56" s="71">
        <v>53</v>
      </c>
      <c r="B56" s="72" t="s">
        <v>165</v>
      </c>
      <c r="C56" s="55" t="s">
        <v>183</v>
      </c>
      <c r="D56" s="55" t="s">
        <v>66</v>
      </c>
      <c r="E56" s="51" t="s">
        <v>184</v>
      </c>
      <c r="F56" s="42" t="s">
        <v>185</v>
      </c>
      <c r="G56" s="51" t="s">
        <v>169</v>
      </c>
      <c r="H56" s="80" t="s">
        <v>70</v>
      </c>
      <c r="I56" s="80" t="s">
        <v>71</v>
      </c>
      <c r="J56" s="80">
        <f t="shared" ref="J56:J57" si="10">IF(H56="NA","NA",IF(H56="Yes",10,-10))</f>
        <v>10</v>
      </c>
      <c r="K56" s="81" t="s">
        <v>186</v>
      </c>
      <c r="L56" s="51" t="s">
        <v>282</v>
      </c>
      <c r="M56" s="33"/>
      <c r="N56" s="33"/>
      <c r="O56" s="40"/>
    </row>
    <row r="57" spans="1:15" s="74" customFormat="1" ht="79.2" x14ac:dyDescent="0.25">
      <c r="A57" s="71">
        <v>54</v>
      </c>
      <c r="B57" s="72" t="s">
        <v>165</v>
      </c>
      <c r="C57" s="55" t="s">
        <v>183</v>
      </c>
      <c r="D57" s="55" t="s">
        <v>66</v>
      </c>
      <c r="E57" s="42" t="s">
        <v>187</v>
      </c>
      <c r="F57" s="42" t="s">
        <v>187</v>
      </c>
      <c r="G57" s="51" t="s">
        <v>169</v>
      </c>
      <c r="H57" s="80" t="s">
        <v>70</v>
      </c>
      <c r="I57" s="80" t="s">
        <v>71</v>
      </c>
      <c r="J57" s="80">
        <f t="shared" si="10"/>
        <v>10</v>
      </c>
      <c r="K57" s="81"/>
      <c r="L57" s="51" t="s">
        <v>282</v>
      </c>
      <c r="M57" s="33"/>
      <c r="N57" s="33"/>
      <c r="O57" s="40"/>
    </row>
    <row r="58" spans="1:15" s="82" customFormat="1" x14ac:dyDescent="0.25">
      <c r="A58" s="61" t="s">
        <v>48</v>
      </c>
      <c r="B58" s="62"/>
      <c r="C58" s="63"/>
      <c r="D58" s="63"/>
      <c r="E58" s="64" t="s">
        <v>117</v>
      </c>
      <c r="F58" s="64"/>
      <c r="G58" s="64"/>
      <c r="H58" s="65"/>
      <c r="I58" s="66"/>
      <c r="J58" s="66">
        <f>(SUM(J48:J57)/(COUNT(J48:J57)*10)*30)</f>
        <v>30</v>
      </c>
      <c r="K58" s="64"/>
      <c r="L58" s="68"/>
      <c r="M58" s="68"/>
      <c r="N58" s="68"/>
      <c r="O58" s="69"/>
    </row>
    <row r="59" spans="1:15" s="83" customFormat="1" ht="39.6" x14ac:dyDescent="0.25">
      <c r="A59" s="71">
        <v>55</v>
      </c>
      <c r="B59" s="72" t="s">
        <v>188</v>
      </c>
      <c r="C59" s="55" t="s">
        <v>189</v>
      </c>
      <c r="D59" s="55" t="s">
        <v>66</v>
      </c>
      <c r="E59" s="42" t="s">
        <v>190</v>
      </c>
      <c r="F59" s="42" t="s">
        <v>191</v>
      </c>
      <c r="G59" s="51" t="s">
        <v>169</v>
      </c>
      <c r="H59" s="80" t="s">
        <v>70</v>
      </c>
      <c r="I59" s="80" t="s">
        <v>71</v>
      </c>
      <c r="J59" s="80">
        <f t="shared" ref="J59:J60" si="11">IF(H59="NA","NA",IF(H59="Yes",10,-10))</f>
        <v>10</v>
      </c>
      <c r="K59" s="42"/>
      <c r="L59" s="33" t="s">
        <v>291</v>
      </c>
      <c r="M59" s="33"/>
      <c r="N59" s="33"/>
      <c r="O59" s="40"/>
    </row>
    <row r="60" spans="1:15" s="74" customFormat="1" ht="26.4" x14ac:dyDescent="0.25">
      <c r="A60" s="71">
        <v>56</v>
      </c>
      <c r="B60" s="72" t="s">
        <v>192</v>
      </c>
      <c r="C60" s="55" t="s">
        <v>193</v>
      </c>
      <c r="D60" s="55" t="s">
        <v>91</v>
      </c>
      <c r="E60" s="51" t="s">
        <v>194</v>
      </c>
      <c r="F60" s="51" t="s">
        <v>195</v>
      </c>
      <c r="G60" s="51" t="s">
        <v>169</v>
      </c>
      <c r="H60" s="80" t="s">
        <v>70</v>
      </c>
      <c r="I60" s="80" t="s">
        <v>71</v>
      </c>
      <c r="J60" s="80">
        <f t="shared" si="11"/>
        <v>10</v>
      </c>
      <c r="K60" s="56"/>
      <c r="L60" s="51" t="s">
        <v>292</v>
      </c>
      <c r="M60" s="51"/>
      <c r="N60" s="51"/>
      <c r="O60" s="57"/>
    </row>
    <row r="61" spans="1:15" s="70" customFormat="1" ht="12" x14ac:dyDescent="0.25">
      <c r="A61" s="61" t="s">
        <v>196</v>
      </c>
      <c r="B61" s="62"/>
      <c r="C61" s="62"/>
      <c r="D61" s="62"/>
      <c r="E61" s="64" t="s">
        <v>117</v>
      </c>
      <c r="F61" s="64"/>
      <c r="G61" s="64"/>
      <c r="H61" s="84"/>
      <c r="I61" s="84"/>
      <c r="J61" s="84">
        <f>(SUM(J59:J60)/(COUNT(J59:J60)*10)*5)</f>
        <v>5</v>
      </c>
      <c r="K61" s="85"/>
      <c r="L61" s="64"/>
      <c r="M61" s="64"/>
      <c r="N61" s="64"/>
      <c r="O61" s="69"/>
    </row>
    <row r="62" spans="1:15" s="74" customFormat="1" ht="66" x14ac:dyDescent="0.25">
      <c r="A62" s="71">
        <v>57</v>
      </c>
      <c r="B62" s="72" t="s">
        <v>197</v>
      </c>
      <c r="C62" s="55" t="s">
        <v>198</v>
      </c>
      <c r="D62" s="55" t="s">
        <v>66</v>
      </c>
      <c r="E62" s="51" t="s">
        <v>199</v>
      </c>
      <c r="F62" s="51" t="s">
        <v>199</v>
      </c>
      <c r="G62" s="35" t="s">
        <v>146</v>
      </c>
      <c r="H62" s="37" t="s">
        <v>70</v>
      </c>
      <c r="I62" s="37" t="s">
        <v>71</v>
      </c>
      <c r="J62" s="37">
        <f>IF(H62="NA","NA",IF(H62="Critical",-10,IF(H62="Yes",10,IF(I62=1,-2,IF(I62=2,-4,IF(I62=3,-6,IF(I62=4,-8,-10)))))))</f>
        <v>10</v>
      </c>
      <c r="K62" s="56" t="s">
        <v>200</v>
      </c>
      <c r="L62" s="51" t="s">
        <v>282</v>
      </c>
      <c r="M62" s="86"/>
      <c r="N62" s="86"/>
      <c r="O62" s="57"/>
    </row>
    <row r="63" spans="1:15" s="74" customFormat="1" ht="39.6" x14ac:dyDescent="0.25">
      <c r="A63" s="71">
        <v>58</v>
      </c>
      <c r="B63" s="72" t="s">
        <v>197</v>
      </c>
      <c r="C63" s="55" t="s">
        <v>201</v>
      </c>
      <c r="D63" s="55" t="s">
        <v>66</v>
      </c>
      <c r="E63" s="51" t="s">
        <v>202</v>
      </c>
      <c r="F63" s="51" t="s">
        <v>202</v>
      </c>
      <c r="G63" s="35" t="s">
        <v>69</v>
      </c>
      <c r="H63" s="36" t="s">
        <v>70</v>
      </c>
      <c r="I63" s="37" t="s">
        <v>71</v>
      </c>
      <c r="J63" s="38">
        <f t="shared" ref="J63:J65" si="12">IF(H63="NA","NA",IF(H63="Yes",10,0))</f>
        <v>10</v>
      </c>
      <c r="K63" s="56" t="s">
        <v>203</v>
      </c>
      <c r="L63" s="51" t="s">
        <v>293</v>
      </c>
      <c r="M63" s="51"/>
      <c r="N63" s="51"/>
      <c r="O63" s="57"/>
    </row>
    <row r="64" spans="1:15" s="74" customFormat="1" ht="52.8" x14ac:dyDescent="0.25">
      <c r="A64" s="71">
        <v>59</v>
      </c>
      <c r="B64" s="72" t="s">
        <v>197</v>
      </c>
      <c r="C64" s="55" t="s">
        <v>204</v>
      </c>
      <c r="D64" s="55" t="s">
        <v>91</v>
      </c>
      <c r="E64" s="51" t="s">
        <v>205</v>
      </c>
      <c r="F64" s="51" t="s">
        <v>205</v>
      </c>
      <c r="G64" s="35" t="s">
        <v>69</v>
      </c>
      <c r="H64" s="36" t="s">
        <v>70</v>
      </c>
      <c r="I64" s="37" t="s">
        <v>71</v>
      </c>
      <c r="J64" s="38">
        <f t="shared" si="12"/>
        <v>10</v>
      </c>
      <c r="K64" s="56" t="s">
        <v>206</v>
      </c>
      <c r="L64" s="86" t="s">
        <v>294</v>
      </c>
      <c r="M64" s="51"/>
      <c r="N64" s="51"/>
      <c r="O64" s="57"/>
    </row>
    <row r="65" spans="1:15" s="74" customFormat="1" ht="39.6" x14ac:dyDescent="0.25">
      <c r="A65" s="71">
        <v>60</v>
      </c>
      <c r="B65" s="72" t="s">
        <v>197</v>
      </c>
      <c r="C65" s="55" t="s">
        <v>207</v>
      </c>
      <c r="D65" s="55" t="s">
        <v>66</v>
      </c>
      <c r="E65" s="86" t="s">
        <v>208</v>
      </c>
      <c r="F65" s="86" t="s">
        <v>208</v>
      </c>
      <c r="G65" s="35" t="s">
        <v>69</v>
      </c>
      <c r="H65" s="36" t="s">
        <v>70</v>
      </c>
      <c r="I65" s="37" t="s">
        <v>71</v>
      </c>
      <c r="J65" s="38">
        <f t="shared" si="12"/>
        <v>10</v>
      </c>
      <c r="K65" s="51" t="s">
        <v>209</v>
      </c>
      <c r="L65" s="86" t="s">
        <v>295</v>
      </c>
      <c r="M65" s="86"/>
      <c r="N65" s="86"/>
      <c r="O65" s="57"/>
    </row>
    <row r="66" spans="1:15" s="74" customFormat="1" ht="39.6" x14ac:dyDescent="0.25">
      <c r="A66" s="71">
        <v>61</v>
      </c>
      <c r="B66" s="72" t="s">
        <v>197</v>
      </c>
      <c r="C66" s="55" t="s">
        <v>210</v>
      </c>
      <c r="D66" s="55" t="s">
        <v>95</v>
      </c>
      <c r="E66" s="51" t="s">
        <v>211</v>
      </c>
      <c r="F66" s="51" t="s">
        <v>211</v>
      </c>
      <c r="G66" s="51" t="s">
        <v>169</v>
      </c>
      <c r="H66" s="78" t="s">
        <v>70</v>
      </c>
      <c r="I66" s="87" t="s">
        <v>71</v>
      </c>
      <c r="J66" s="80">
        <f>IF(H66="NA","NA",IF(H66="Yes",10,-5))</f>
        <v>10</v>
      </c>
      <c r="K66" s="51" t="s">
        <v>212</v>
      </c>
      <c r="L66" s="86" t="s">
        <v>296</v>
      </c>
      <c r="M66" s="33"/>
      <c r="N66" s="33"/>
      <c r="O66" s="57"/>
    </row>
    <row r="67" spans="1:15" s="74" customFormat="1" ht="39.6" x14ac:dyDescent="0.25">
      <c r="A67" s="71">
        <v>62</v>
      </c>
      <c r="B67" s="72" t="s">
        <v>197</v>
      </c>
      <c r="C67" s="55" t="s">
        <v>213</v>
      </c>
      <c r="D67" s="55" t="s">
        <v>95</v>
      </c>
      <c r="E67" s="56" t="s">
        <v>214</v>
      </c>
      <c r="F67" s="56" t="s">
        <v>214</v>
      </c>
      <c r="G67" s="88" t="s">
        <v>215</v>
      </c>
      <c r="H67" s="89" t="s">
        <v>70</v>
      </c>
      <c r="I67" s="87" t="s">
        <v>71</v>
      </c>
      <c r="J67" s="78">
        <f t="shared" ref="J67" si="13">IF(H67="NA","NA",IF(H67="Yes",10,0))</f>
        <v>10</v>
      </c>
      <c r="K67" s="51"/>
      <c r="L67" s="33" t="s">
        <v>297</v>
      </c>
      <c r="M67" s="33"/>
      <c r="N67" s="33"/>
      <c r="O67" s="57"/>
    </row>
    <row r="68" spans="1:15" s="74" customFormat="1" ht="26.4" x14ac:dyDescent="0.25">
      <c r="A68" s="71">
        <v>63</v>
      </c>
      <c r="B68" s="72" t="s">
        <v>197</v>
      </c>
      <c r="C68" s="55" t="s">
        <v>216</v>
      </c>
      <c r="D68" s="55" t="s">
        <v>91</v>
      </c>
      <c r="E68" s="51" t="s">
        <v>217</v>
      </c>
      <c r="F68" s="51" t="s">
        <v>217</v>
      </c>
      <c r="G68" s="88" t="s">
        <v>6</v>
      </c>
      <c r="H68" s="79" t="s">
        <v>71</v>
      </c>
      <c r="I68" s="79" t="s">
        <v>71</v>
      </c>
      <c r="J68" s="79" t="s">
        <v>71</v>
      </c>
      <c r="K68" s="51"/>
      <c r="L68" s="51" t="s">
        <v>298</v>
      </c>
      <c r="M68" s="51"/>
      <c r="N68" s="51"/>
      <c r="O68" s="57"/>
    </row>
    <row r="69" spans="1:15" s="70" customFormat="1" ht="12.6" thickBot="1" x14ac:dyDescent="0.3">
      <c r="A69" s="90" t="s">
        <v>218</v>
      </c>
      <c r="B69" s="91"/>
      <c r="C69" s="92"/>
      <c r="D69" s="93"/>
      <c r="E69" s="92" t="s">
        <v>117</v>
      </c>
      <c r="F69" s="92"/>
      <c r="G69" s="92"/>
      <c r="H69" s="94"/>
      <c r="I69" s="94"/>
      <c r="J69" s="94">
        <f>(SUM(J62:J68)/(COUNT(J62:J68)*10)*5)</f>
        <v>5</v>
      </c>
      <c r="K69" s="95"/>
      <c r="L69" s="92"/>
      <c r="M69" s="92"/>
      <c r="N69" s="92"/>
      <c r="O69" s="96"/>
    </row>
  </sheetData>
  <dataValidations count="12">
    <dataValidation type="list" operator="equal" allowBlank="1" showInputMessage="1" showErrorMessage="1" error="Invalid Entry" prompt="Please select from the drop down menu only." sqref="I43:I46 I36 I62 I38:I39" xr:uid="{1AB70794-EC85-4F5E-8520-47075C42FFDC}">
      <formula1>"1,2,3,4, &gt;4, NA"</formula1>
    </dataValidation>
    <dataValidation type="list" operator="equal" showInputMessage="1" showErrorMessage="1" error="Invalid Entry" prompt="Please select from the drop down menu only." sqref="H36 H42" xr:uid="{F8B27563-3189-4AE4-9139-937E81463807}">
      <formula1>"Yes,No,Critical,NA"</formula1>
    </dataValidation>
    <dataValidation type="list" showInputMessage="1" showErrorMessage="1" errorTitle="Invaild Entry." prompt="Pls select from drop down menu only." sqref="H2:H5 H16 H63:H65 H20:H25" xr:uid="{B6959F41-6614-4978-B3BB-A5B8C8B60851}">
      <formula1>"Yes,No,NA"</formula1>
      <formula2>0</formula2>
    </dataValidation>
    <dataValidation type="list" allowBlank="1" showInputMessage="1" showErrorMessage="1" sqref="I42" xr:uid="{EFAF58D8-C7C1-4113-86DD-24B255EE745E}">
      <formula1>"1,2,3,4,5,6,7,8,9,10,NA"</formula1>
    </dataValidation>
    <dataValidation type="list" allowBlank="1" showInputMessage="1" showErrorMessage="1" sqref="I20:I25 I63:I65 I48 I16 I2:I5 I50:I55" xr:uid="{3EBED7EB-6440-47B9-B461-8209DADECFFB}">
      <formula1>"1,2,3,4,&gt;4,NA"</formula1>
    </dataValidation>
    <dataValidation type="list" allowBlank="1" showInputMessage="1" showErrorMessage="1" sqref="H59:H60 H56:H57 H49" xr:uid="{94DAF8F8-7E91-49C8-8F9D-5596E07A664A}">
      <formula1>"Yes, No, NA, Critical"</formula1>
    </dataValidation>
    <dataValidation type="list" allowBlank="1" showInputMessage="1" showErrorMessage="1" sqref="I59:I60 I56:I57 I49" xr:uid="{3606CBF3-BDAF-43C9-82AB-6058A469D75C}">
      <formula1>"1,2,3,4,GT4,NA"</formula1>
    </dataValidation>
    <dataValidation type="list" showInputMessage="1" showErrorMessage="1" error="Invalid Entry." prompt="Pls select from drop down menu only." sqref="I58 I47 I29" xr:uid="{A381A3BB-4832-476F-B366-2CCDD74A4CFC}">
      <formula1>"&lt;70%,NA"</formula1>
    </dataValidation>
    <dataValidation type="list" operator="equal" showInputMessage="1" showErrorMessage="1" errorTitle="Invaild Entry." prompt="Pls select from drop down menu only." sqref="H19" xr:uid="{F040649C-5455-48B4-915B-C99F0132CD01}">
      <formula1>"Yes,No,Critical,NA"</formula1>
      <formula2>0</formula2>
    </dataValidation>
    <dataValidation type="list" operator="equal" showInputMessage="1" showErrorMessage="1" error="Invalid Entry" prompt="Please select from the drop down menu only." sqref="H43:H46 H66 H48 H38:H39 H62 H50:H55" xr:uid="{2BFAD3BA-727C-4E63-87E1-49FACAA64C4F}">
      <formula1>"Yes,No,NA"</formula1>
    </dataValidation>
    <dataValidation type="list" operator="equal" showInputMessage="1" showErrorMessage="1" errorTitle="Invaild Entry." prompt="Pls select from drop down menu only." sqref="H69 H61 H6:H15 H17:H18 H37 H47 H67 H58 H26:H35 H40:H41" xr:uid="{7EDF1666-6AC0-41BB-94F2-3A5764EADDEC}">
      <formula1>"Yes,No,NA"</formula1>
      <formula2>0</formula2>
    </dataValidation>
    <dataValidation type="list" operator="equal" showInputMessage="1" showErrorMessage="1" error="Invalid Entry." prompt="Pls select from drop down menu only." sqref="I69 I66:I67 I6:I15 I40:I41 I37 I26:I28 I61 I17:I19 I30:I35" xr:uid="{806E6B37-3294-48BC-B5ED-4B6E2320E833}">
      <formula1>"1,2,3,4,&gt;4,NA"</formula1>
      <formula2>0</formula2>
    </dataValidation>
  </dataValidation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9F91-A01D-4D1C-B538-B94856059891}">
  <sheetPr codeName="Sheet3"/>
  <dimension ref="A1:AC16"/>
  <sheetViews>
    <sheetView workbookViewId="0"/>
  </sheetViews>
  <sheetFormatPr defaultColWidth="9.109375" defaultRowHeight="13.8" x14ac:dyDescent="0.25"/>
  <cols>
    <col min="1" max="1" width="9.44140625" style="140" customWidth="1"/>
    <col min="2" max="2" width="27.6640625" style="140" bestFit="1" customWidth="1"/>
    <col min="3" max="3" width="22.44140625" style="140" customWidth="1"/>
    <col min="4" max="4" width="9.88671875" style="140" bestFit="1" customWidth="1"/>
    <col min="5" max="5" width="12.88671875" style="140" bestFit="1" customWidth="1"/>
    <col min="6" max="7" width="30.6640625" style="140" customWidth="1"/>
    <col min="8" max="8" width="62.5546875" style="140" customWidth="1"/>
    <col min="9" max="9" width="48.88671875" style="140" bestFit="1" customWidth="1"/>
    <col min="10" max="10" width="19.6640625" style="140" bestFit="1" customWidth="1"/>
    <col min="11" max="11" width="15.109375" style="140" bestFit="1" customWidth="1"/>
    <col min="12" max="12" width="17.88671875" style="140" bestFit="1" customWidth="1"/>
    <col min="13" max="13" width="27" style="140" bestFit="1" customWidth="1"/>
    <col min="14" max="14" width="15.44140625" style="140" bestFit="1" customWidth="1"/>
    <col min="15" max="15" width="16.5546875" style="140" bestFit="1" customWidth="1"/>
    <col min="16" max="16" width="14.5546875" style="140" bestFit="1" customWidth="1"/>
    <col min="17" max="17" width="18.88671875" style="140" bestFit="1" customWidth="1"/>
    <col min="18" max="18" width="20.88671875" style="140" bestFit="1" customWidth="1"/>
    <col min="19" max="19" width="22.33203125" style="140" bestFit="1" customWidth="1"/>
    <col min="20" max="21" width="25.109375" style="140" bestFit="1" customWidth="1"/>
    <col min="22" max="22" width="20.88671875" style="140" bestFit="1" customWidth="1"/>
    <col min="23" max="23" width="23.44140625" style="140" bestFit="1" customWidth="1"/>
    <col min="24" max="24" width="32.6640625" style="140" bestFit="1" customWidth="1"/>
    <col min="25" max="25" width="32.109375" style="140" bestFit="1" customWidth="1"/>
    <col min="26" max="26" width="21.5546875" style="140" bestFit="1" customWidth="1"/>
    <col min="27" max="27" width="24.109375" style="140" bestFit="1" customWidth="1"/>
    <col min="28" max="28" width="27.5546875" style="140" bestFit="1" customWidth="1"/>
    <col min="29" max="16384" width="9.109375" style="140"/>
  </cols>
  <sheetData>
    <row r="1" spans="1:29" s="139" customFormat="1" ht="14.4" thickBot="1" x14ac:dyDescent="0.35">
      <c r="A1" s="141" t="s">
        <v>313</v>
      </c>
      <c r="B1" s="99" t="s">
        <v>219</v>
      </c>
      <c r="C1" s="99" t="s">
        <v>220</v>
      </c>
      <c r="D1" s="99" t="s">
        <v>221</v>
      </c>
      <c r="E1" s="99" t="s">
        <v>222</v>
      </c>
      <c r="F1" s="99" t="s">
        <v>223</v>
      </c>
      <c r="G1" s="99" t="s">
        <v>10</v>
      </c>
      <c r="H1" s="99" t="s">
        <v>224</v>
      </c>
      <c r="I1" s="99" t="s">
        <v>60</v>
      </c>
      <c r="J1" s="99" t="s">
        <v>225</v>
      </c>
      <c r="K1" s="99" t="s">
        <v>226</v>
      </c>
      <c r="L1" s="99" t="s">
        <v>227</v>
      </c>
      <c r="M1" s="99" t="s">
        <v>228</v>
      </c>
      <c r="N1" s="99" t="s">
        <v>229</v>
      </c>
      <c r="O1" s="99" t="s">
        <v>230</v>
      </c>
      <c r="P1" s="99" t="s">
        <v>231</v>
      </c>
      <c r="Q1" s="99" t="s">
        <v>232</v>
      </c>
      <c r="R1" s="99" t="s">
        <v>233</v>
      </c>
      <c r="S1" s="99" t="s">
        <v>234</v>
      </c>
      <c r="T1" s="99" t="s">
        <v>235</v>
      </c>
      <c r="U1" s="99" t="s">
        <v>236</v>
      </c>
      <c r="V1" s="99" t="s">
        <v>237</v>
      </c>
      <c r="W1" s="99" t="s">
        <v>238</v>
      </c>
      <c r="X1" s="99" t="s">
        <v>239</v>
      </c>
      <c r="Y1" s="99" t="s">
        <v>240</v>
      </c>
      <c r="Z1" s="99" t="s">
        <v>241</v>
      </c>
      <c r="AA1" s="99" t="s">
        <v>242</v>
      </c>
      <c r="AB1" s="99" t="s">
        <v>243</v>
      </c>
      <c r="AC1" s="99" t="s">
        <v>244</v>
      </c>
    </row>
    <row r="2" spans="1:29" x14ac:dyDescent="0.25">
      <c r="A2" s="14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5">
      <c r="A3" s="143"/>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row>
    <row r="4" spans="1:29" x14ac:dyDescent="0.25">
      <c r="A4" s="143"/>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row>
    <row r="5" spans="1:29" x14ac:dyDescent="0.25">
      <c r="A5" s="143"/>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row>
    <row r="6" spans="1:29" x14ac:dyDescent="0.25">
      <c r="A6" s="143"/>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row>
    <row r="7" spans="1:29" x14ac:dyDescent="0.25">
      <c r="A7" s="143"/>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row>
    <row r="8" spans="1:29" x14ac:dyDescent="0.25">
      <c r="A8" s="143"/>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x14ac:dyDescent="0.25">
      <c r="A9" s="143"/>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row>
    <row r="10" spans="1:29" x14ac:dyDescent="0.25">
      <c r="A10" s="143"/>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1:29" x14ac:dyDescent="0.25">
      <c r="A11" s="143"/>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spans="1:29" x14ac:dyDescent="0.25">
      <c r="A12" s="143"/>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row>
    <row r="13" spans="1:29" x14ac:dyDescent="0.25">
      <c r="A13" s="143"/>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spans="1:29" x14ac:dyDescent="0.25">
      <c r="A14" s="143"/>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spans="1:29"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row>
    <row r="16" spans="1:29"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0E42-6A78-4053-9433-7ED1F4260C2F}">
  <sheetPr codeName="Sheet4"/>
  <dimension ref="A1:I14"/>
  <sheetViews>
    <sheetView workbookViewId="0"/>
  </sheetViews>
  <sheetFormatPr defaultColWidth="9.109375" defaultRowHeight="13.8" x14ac:dyDescent="0.3"/>
  <cols>
    <col min="1" max="1" width="5.88671875" style="1" customWidth="1"/>
    <col min="2" max="2" width="12.5546875" style="1" bestFit="1" customWidth="1"/>
    <col min="3" max="3" width="11.33203125" style="1" bestFit="1" customWidth="1"/>
    <col min="4" max="4" width="19.88671875" style="1" customWidth="1"/>
    <col min="5" max="5" width="9.44140625" style="1" customWidth="1"/>
    <col min="6" max="6" width="14.109375" style="1" customWidth="1"/>
    <col min="7" max="7" width="14" style="1" customWidth="1"/>
    <col min="8" max="8" width="7.88671875" style="1" bestFit="1" customWidth="1"/>
    <col min="9" max="16384" width="9.109375" style="1"/>
  </cols>
  <sheetData>
    <row r="1" spans="1:9" x14ac:dyDescent="0.3">
      <c r="A1" s="100" t="s">
        <v>245</v>
      </c>
      <c r="B1" s="101"/>
      <c r="C1" s="101"/>
      <c r="D1" s="101"/>
      <c r="E1" s="101"/>
      <c r="F1" s="101"/>
      <c r="G1" s="101"/>
      <c r="H1" s="102"/>
    </row>
    <row r="2" spans="1:9" ht="14.4" thickBot="1" x14ac:dyDescent="0.35">
      <c r="A2" s="102"/>
      <c r="B2" s="101"/>
      <c r="C2" s="101"/>
      <c r="D2" s="101"/>
      <c r="E2" s="101"/>
      <c r="F2" s="101"/>
      <c r="G2" s="101"/>
      <c r="H2" s="102"/>
    </row>
    <row r="3" spans="1:9" ht="55.2" x14ac:dyDescent="0.3">
      <c r="A3" s="103" t="s">
        <v>246</v>
      </c>
      <c r="B3" s="104" t="s">
        <v>247</v>
      </c>
      <c r="C3" s="104" t="s">
        <v>248</v>
      </c>
      <c r="D3" s="105" t="s">
        <v>249</v>
      </c>
      <c r="E3" s="104" t="s">
        <v>250</v>
      </c>
      <c r="F3" s="105" t="s">
        <v>251</v>
      </c>
      <c r="G3" s="105" t="s">
        <v>252</v>
      </c>
      <c r="H3" s="106" t="s">
        <v>253</v>
      </c>
    </row>
    <row r="4" spans="1:9" x14ac:dyDescent="0.3">
      <c r="A4" s="107"/>
      <c r="B4" s="108"/>
      <c r="C4" s="108"/>
      <c r="D4" s="108"/>
      <c r="E4" s="109"/>
      <c r="F4" s="109"/>
      <c r="G4" s="109"/>
      <c r="H4" s="110"/>
      <c r="I4" s="1" t="s">
        <v>6</v>
      </c>
    </row>
    <row r="5" spans="1:9" x14ac:dyDescent="0.3">
      <c r="A5" s="107"/>
      <c r="B5" s="108"/>
      <c r="C5" s="108"/>
      <c r="D5" s="108"/>
      <c r="E5" s="109"/>
      <c r="F5" s="109"/>
      <c r="G5" s="109"/>
      <c r="H5" s="110"/>
    </row>
    <row r="6" spans="1:9" x14ac:dyDescent="0.3">
      <c r="A6" s="107"/>
      <c r="B6" s="108"/>
      <c r="C6" s="108"/>
      <c r="D6" s="108"/>
      <c r="E6" s="109"/>
      <c r="F6" s="109"/>
      <c r="G6" s="109"/>
      <c r="H6" s="110"/>
    </row>
    <row r="7" spans="1:9" x14ac:dyDescent="0.3">
      <c r="A7" s="107"/>
      <c r="B7" s="108"/>
      <c r="C7" s="108"/>
      <c r="D7" s="108"/>
      <c r="E7" s="109"/>
      <c r="F7" s="109"/>
      <c r="G7" s="109"/>
      <c r="H7" s="110"/>
    </row>
    <row r="8" spans="1:9" ht="14.4" thickBot="1" x14ac:dyDescent="0.35">
      <c r="A8" s="111"/>
      <c r="B8" s="112"/>
      <c r="C8" s="112"/>
      <c r="D8" s="112"/>
      <c r="E8" s="113"/>
      <c r="F8" s="113"/>
      <c r="G8" s="113"/>
      <c r="H8" s="114"/>
    </row>
    <row r="10" spans="1:9" ht="14.4" x14ac:dyDescent="0.3">
      <c r="C10" s="115"/>
    </row>
    <row r="11" spans="1:9" ht="14.4" x14ac:dyDescent="0.3">
      <c r="C11" s="115"/>
    </row>
    <row r="12" spans="1:9" ht="14.4" x14ac:dyDescent="0.3">
      <c r="C12" s="115"/>
    </row>
    <row r="13" spans="1:9" ht="14.4" x14ac:dyDescent="0.3">
      <c r="C13" s="115"/>
    </row>
    <row r="14" spans="1:9" ht="14.4" x14ac:dyDescent="0.3">
      <c r="C14" s="115"/>
    </row>
  </sheetData>
  <conditionalFormatting sqref="C1:C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E374-5B4E-433D-B94A-B19751C4F58C}">
  <sheetPr codeName="Sheet5"/>
  <dimension ref="A1:F20"/>
  <sheetViews>
    <sheetView workbookViewId="0"/>
  </sheetViews>
  <sheetFormatPr defaultColWidth="9.109375" defaultRowHeight="13.8" x14ac:dyDescent="0.3"/>
  <cols>
    <col min="1" max="1" width="7.6640625" style="1" customWidth="1"/>
    <col min="2" max="2" width="10.6640625" style="1" customWidth="1"/>
    <col min="3" max="3" width="17.6640625" style="1" customWidth="1"/>
    <col min="4" max="4" width="15.6640625" style="1" customWidth="1"/>
    <col min="5" max="6" width="10.6640625" style="1" customWidth="1"/>
    <col min="7" max="7" width="10.5546875" style="1" bestFit="1" customWidth="1"/>
    <col min="8" max="16384" width="9.109375" style="1"/>
  </cols>
  <sheetData>
    <row r="1" spans="1:6" x14ac:dyDescent="0.3">
      <c r="A1" s="116" t="s">
        <v>254</v>
      </c>
      <c r="B1" s="116"/>
    </row>
    <row r="2" spans="1:6" ht="14.4" thickBot="1" x14ac:dyDescent="0.35">
      <c r="C2" s="1" t="s">
        <v>255</v>
      </c>
    </row>
    <row r="3" spans="1:6" ht="55.2" x14ac:dyDescent="0.3">
      <c r="A3" s="103" t="s">
        <v>50</v>
      </c>
      <c r="B3" s="104" t="s">
        <v>250</v>
      </c>
      <c r="C3" s="104" t="s">
        <v>256</v>
      </c>
      <c r="D3" s="104" t="s">
        <v>227</v>
      </c>
      <c r="E3" s="105" t="s">
        <v>257</v>
      </c>
      <c r="F3" s="106" t="s">
        <v>258</v>
      </c>
    </row>
    <row r="4" spans="1:6" ht="14.1" customHeight="1" x14ac:dyDescent="0.3">
      <c r="A4" s="117"/>
      <c r="B4" s="118"/>
      <c r="C4" s="108"/>
      <c r="D4" s="119"/>
      <c r="E4" s="120"/>
      <c r="F4" s="121"/>
    </row>
    <row r="5" spans="1:6" ht="14.1" customHeight="1" x14ac:dyDescent="0.3">
      <c r="A5" s="117"/>
      <c r="B5" s="118"/>
      <c r="C5" s="108"/>
      <c r="D5" s="119"/>
      <c r="E5" s="120"/>
      <c r="F5" s="121"/>
    </row>
    <row r="6" spans="1:6" ht="14.1" customHeight="1" x14ac:dyDescent="0.3">
      <c r="A6" s="117"/>
      <c r="B6" s="118"/>
      <c r="C6" s="108"/>
      <c r="D6" s="119"/>
      <c r="E6" s="120"/>
      <c r="F6" s="121"/>
    </row>
    <row r="7" spans="1:6" ht="14.1" customHeight="1" x14ac:dyDescent="0.3">
      <c r="A7" s="117"/>
      <c r="B7" s="118"/>
      <c r="C7" s="108"/>
      <c r="D7" s="119"/>
      <c r="E7" s="120"/>
      <c r="F7" s="121"/>
    </row>
    <row r="8" spans="1:6" ht="14.1" customHeight="1" x14ac:dyDescent="0.3">
      <c r="A8" s="117"/>
      <c r="B8" s="118"/>
      <c r="C8" s="108"/>
      <c r="D8" s="119"/>
      <c r="E8" s="120"/>
      <c r="F8" s="121"/>
    </row>
    <row r="9" spans="1:6" ht="14.1" customHeight="1" x14ac:dyDescent="0.3">
      <c r="A9" s="117"/>
      <c r="B9" s="122"/>
      <c r="C9" s="123"/>
      <c r="D9" s="124"/>
      <c r="E9" s="120"/>
      <c r="F9" s="121"/>
    </row>
    <row r="10" spans="1:6" ht="14.1" customHeight="1" x14ac:dyDescent="0.3">
      <c r="A10" s="117"/>
      <c r="B10" s="122"/>
      <c r="C10" s="123"/>
      <c r="D10" s="124"/>
      <c r="E10" s="120"/>
      <c r="F10" s="121"/>
    </row>
    <row r="11" spans="1:6" ht="14.1" customHeight="1" x14ac:dyDescent="0.3">
      <c r="A11" s="117"/>
      <c r="B11" s="122"/>
      <c r="C11" s="123"/>
      <c r="D11" s="124"/>
      <c r="E11" s="120"/>
      <c r="F11" s="121"/>
    </row>
    <row r="12" spans="1:6" ht="14.1" customHeight="1" x14ac:dyDescent="0.3">
      <c r="A12" s="117"/>
      <c r="B12" s="122"/>
      <c r="C12" s="123"/>
      <c r="D12" s="124"/>
      <c r="E12" s="120"/>
      <c r="F12" s="121"/>
    </row>
    <row r="13" spans="1:6" ht="14.1" customHeight="1" x14ac:dyDescent="0.3">
      <c r="A13" s="117"/>
      <c r="B13" s="122"/>
      <c r="C13" s="123"/>
      <c r="D13" s="124"/>
      <c r="E13" s="120"/>
      <c r="F13" s="121"/>
    </row>
    <row r="14" spans="1:6" ht="14.1" customHeight="1" x14ac:dyDescent="0.3">
      <c r="A14" s="117"/>
      <c r="B14" s="122"/>
      <c r="C14" s="123"/>
      <c r="D14" s="124"/>
      <c r="E14" s="120"/>
      <c r="F14" s="121"/>
    </row>
    <row r="15" spans="1:6" ht="14.1" customHeight="1" x14ac:dyDescent="0.3">
      <c r="A15" s="117"/>
      <c r="B15" s="122"/>
      <c r="C15" s="123"/>
      <c r="D15" s="124"/>
      <c r="E15" s="120"/>
      <c r="F15" s="121"/>
    </row>
    <row r="16" spans="1:6" ht="14.1" customHeight="1" x14ac:dyDescent="0.3">
      <c r="A16" s="125"/>
      <c r="B16" s="118"/>
      <c r="C16" s="108"/>
      <c r="D16" s="126"/>
      <c r="E16" s="120"/>
      <c r="F16" s="121"/>
    </row>
    <row r="17" spans="1:6" ht="14.1" customHeight="1" x14ac:dyDescent="0.3">
      <c r="A17" s="125"/>
      <c r="B17" s="118"/>
      <c r="C17" s="108"/>
      <c r="D17" s="126"/>
      <c r="E17" s="120"/>
      <c r="F17" s="121"/>
    </row>
    <row r="18" spans="1:6" ht="14.1" customHeight="1" x14ac:dyDescent="0.3">
      <c r="A18" s="125"/>
      <c r="B18" s="118"/>
      <c r="C18" s="108"/>
      <c r="D18" s="126"/>
      <c r="E18" s="120"/>
      <c r="F18" s="121"/>
    </row>
    <row r="19" spans="1:6" ht="14.1" customHeight="1" x14ac:dyDescent="0.3">
      <c r="A19" s="125"/>
      <c r="B19" s="122"/>
      <c r="C19" s="123"/>
      <c r="D19" s="124"/>
      <c r="E19" s="120"/>
      <c r="F19" s="121"/>
    </row>
    <row r="20" spans="1:6" ht="14.1" customHeight="1" thickBot="1" x14ac:dyDescent="0.35">
      <c r="A20" s="127"/>
      <c r="B20" s="128"/>
      <c r="C20" s="112"/>
      <c r="D20" s="129"/>
      <c r="E20" s="130"/>
      <c r="F20" s="1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810F-619B-4C8C-B5EB-D969A4868025}">
  <sheetPr codeName="Sheet6"/>
  <dimension ref="A1:F4"/>
  <sheetViews>
    <sheetView workbookViewId="0"/>
  </sheetViews>
  <sheetFormatPr defaultColWidth="9.109375" defaultRowHeight="13.8" x14ac:dyDescent="0.3"/>
  <cols>
    <col min="1" max="1" width="6.88671875" style="1" bestFit="1" customWidth="1"/>
    <col min="2" max="2" width="11" style="1" bestFit="1" customWidth="1"/>
    <col min="3" max="3" width="16.44140625" style="1" customWidth="1"/>
    <col min="4" max="16384" width="9.109375" style="1"/>
  </cols>
  <sheetData>
    <row r="1" spans="1:6" x14ac:dyDescent="0.3">
      <c r="A1" s="100" t="s">
        <v>259</v>
      </c>
      <c r="B1" s="102"/>
      <c r="C1" s="102"/>
    </row>
    <row r="2" spans="1:6" ht="14.4" thickBot="1" x14ac:dyDescent="0.35"/>
    <row r="3" spans="1:6" ht="27.6" x14ac:dyDescent="0.3">
      <c r="A3" s="103" t="s">
        <v>260</v>
      </c>
      <c r="B3" s="104" t="s">
        <v>261</v>
      </c>
      <c r="C3" s="105" t="s">
        <v>262</v>
      </c>
      <c r="D3" s="153" t="s">
        <v>263</v>
      </c>
      <c r="E3" s="153"/>
      <c r="F3" s="154"/>
    </row>
    <row r="4" spans="1:6" x14ac:dyDescent="0.3">
      <c r="A4" s="155" t="s">
        <v>264</v>
      </c>
      <c r="B4" s="156"/>
      <c r="C4" s="156"/>
      <c r="D4" s="156"/>
      <c r="E4" s="156"/>
      <c r="F4" s="157"/>
    </row>
  </sheetData>
  <mergeCells count="2">
    <mergeCell ref="D3:F3"/>
    <mergeCell ref="A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C820-A8A6-4F39-9F98-C76DB7C4B3A6}">
  <sheetPr codeName="Sheet7"/>
  <dimension ref="A1:D6"/>
  <sheetViews>
    <sheetView workbookViewId="0"/>
  </sheetViews>
  <sheetFormatPr defaultColWidth="9.109375" defaultRowHeight="13.8" x14ac:dyDescent="0.3"/>
  <cols>
    <col min="1" max="1" width="9.109375" style="1"/>
    <col min="2" max="2" width="11.44140625" style="1" bestFit="1" customWidth="1"/>
    <col min="3" max="3" width="14.109375" style="1" bestFit="1" customWidth="1"/>
    <col min="4" max="4" width="17.44140625" style="1" bestFit="1" customWidth="1"/>
    <col min="5" max="16384" width="9.109375" style="1"/>
  </cols>
  <sheetData>
    <row r="1" spans="1:4" x14ac:dyDescent="0.3">
      <c r="A1" s="100" t="s">
        <v>265</v>
      </c>
    </row>
    <row r="2" spans="1:4" ht="14.4" thickBot="1" x14ac:dyDescent="0.35"/>
    <row r="3" spans="1:4" x14ac:dyDescent="0.3">
      <c r="A3" s="103" t="s">
        <v>250</v>
      </c>
      <c r="B3" s="104" t="s">
        <v>266</v>
      </c>
      <c r="C3" s="104" t="s">
        <v>267</v>
      </c>
      <c r="D3" s="106" t="s">
        <v>268</v>
      </c>
    </row>
    <row r="4" spans="1:4" x14ac:dyDescent="0.3">
      <c r="A4" s="132"/>
      <c r="B4" s="133"/>
      <c r="C4" s="133"/>
      <c r="D4" s="134"/>
    </row>
    <row r="5" spans="1:4" x14ac:dyDescent="0.3">
      <c r="A5" s="132"/>
      <c r="B5" s="133"/>
      <c r="C5" s="133"/>
      <c r="D5" s="134"/>
    </row>
    <row r="6" spans="1:4" ht="14.4" thickBot="1" x14ac:dyDescent="0.35">
      <c r="A6" s="135"/>
      <c r="B6" s="136"/>
      <c r="C6" s="136"/>
      <c r="D6" s="13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A264-DAEB-43AF-A0E3-60C9713334FB}">
  <sheetPr codeName="Sheet8"/>
  <dimension ref="A1:E4"/>
  <sheetViews>
    <sheetView workbookViewId="0"/>
  </sheetViews>
  <sheetFormatPr defaultColWidth="9.109375" defaultRowHeight="13.8" x14ac:dyDescent="0.3"/>
  <cols>
    <col min="1" max="1" width="6.6640625" style="1" customWidth="1"/>
    <col min="2" max="2" width="7.5546875" style="1" customWidth="1"/>
    <col min="3" max="3" width="5.109375" style="1" customWidth="1"/>
    <col min="4" max="4" width="9.109375" style="1" customWidth="1"/>
    <col min="5" max="5" width="26.5546875" style="1" bestFit="1" customWidth="1"/>
    <col min="6" max="16384" width="9.109375" style="1"/>
  </cols>
  <sheetData>
    <row r="1" spans="1:5" x14ac:dyDescent="0.3">
      <c r="A1" s="138" t="s">
        <v>269</v>
      </c>
    </row>
    <row r="2" spans="1:5" ht="14.4" thickBot="1" x14ac:dyDescent="0.35"/>
    <row r="3" spans="1:5" x14ac:dyDescent="0.3">
      <c r="A3" s="103" t="s">
        <v>270</v>
      </c>
      <c r="B3" s="104" t="s">
        <v>250</v>
      </c>
      <c r="C3" s="104" t="s">
        <v>256</v>
      </c>
      <c r="D3" s="104" t="s">
        <v>271</v>
      </c>
      <c r="E3" s="106" t="s">
        <v>272</v>
      </c>
    </row>
    <row r="4" spans="1:5" ht="14.4" thickBot="1" x14ac:dyDescent="0.35">
      <c r="A4" s="158"/>
      <c r="B4" s="159"/>
      <c r="C4" s="159"/>
      <c r="D4" s="159"/>
      <c r="E4" s="160"/>
    </row>
  </sheetData>
  <mergeCells count="1">
    <mergeCell ref="A4:E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Rating</vt:lpstr>
      <vt:lpstr>Agency</vt:lpstr>
      <vt:lpstr>KAF</vt:lpstr>
      <vt:lpstr>Annexure 1</vt:lpstr>
      <vt:lpstr>Annexure 2</vt:lpstr>
      <vt:lpstr>Anexure 3</vt:lpstr>
      <vt:lpstr>Annexure-4</vt:lpstr>
      <vt:lpstr>Annexure-5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Rachit Goyal</cp:lastModifiedBy>
  <dcterms:created xsi:type="dcterms:W3CDTF">2026-03-12T14:51:09Z</dcterms:created>
  <dcterms:modified xsi:type="dcterms:W3CDTF">2026-06-27T09:36:24Z</dcterms:modified>
</cp:coreProperties>
</file>