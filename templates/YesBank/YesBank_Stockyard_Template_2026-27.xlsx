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achit Goyal\Downloads\audit-report-generator\templates\YesBank\"/>
    </mc:Choice>
  </mc:AlternateContent>
  <xr:revisionPtr revIDLastSave="0" documentId="13_ncr:1_{BDE2DEB5-6A03-4175-B82A-DA21F7422B3D}" xr6:coauthVersionLast="47" xr6:coauthVersionMax="47" xr10:uidLastSave="{00000000-0000-0000-0000-000000000000}"/>
  <bookViews>
    <workbookView xWindow="-108" yWindow="-108" windowWidth="23256" windowHeight="12456" xr2:uid="{BE5CE258-BEC6-40D5-80F2-B82066A3A8DA}"/>
  </bookViews>
  <sheets>
    <sheet name="Rating" sheetId="1" r:id="rId1"/>
    <sheet name="Checklist" sheetId="2" r:id="rId2"/>
    <sheet name="KAF" sheetId="3" r:id="rId3"/>
    <sheet name="Vehicle Details" sheetId="4" r:id="rId4"/>
  </sheets>
  <definedNames>
    <definedName name="_xlnm._FilterDatabase" localSheetId="1" hidden="1">Checklist!$A$1:$O$39</definedName>
    <definedName name="_xlnm._FilterDatabase" localSheetId="2" hidden="1">KAF!$B$1:$T$1</definedName>
    <definedName name="_xlnm._FilterDatabase" localSheetId="3" hidden="1">'Vehicle Details'!$A$1:$M$1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5" i="2" l="1"/>
  <c r="K11" i="2"/>
  <c r="K12" i="2"/>
  <c r="K31" i="2"/>
  <c r="K20" i="2"/>
  <c r="K19" i="2"/>
  <c r="K18" i="2"/>
  <c r="K17" i="2"/>
  <c r="K22" i="2"/>
  <c r="K21" i="2"/>
  <c r="K23" i="2"/>
  <c r="K38" i="2"/>
  <c r="K37" i="2"/>
  <c r="K36" i="2"/>
  <c r="K35" i="2"/>
  <c r="K34" i="2"/>
  <c r="K33" i="2"/>
  <c r="K32" i="2"/>
  <c r="K29" i="2"/>
  <c r="K28" i="2"/>
  <c r="K27" i="2"/>
  <c r="K26" i="2"/>
  <c r="K25" i="2"/>
  <c r="K24" i="2"/>
  <c r="K16" i="2"/>
  <c r="K13" i="2"/>
  <c r="K10" i="2"/>
  <c r="K9" i="2"/>
  <c r="K8" i="2"/>
  <c r="K7" i="2"/>
  <c r="K6" i="2"/>
  <c r="K5" i="2"/>
  <c r="K4" i="2"/>
  <c r="K3" i="2"/>
  <c r="K2" i="2"/>
  <c r="C19" i="1"/>
  <c r="K14" i="2" l="1"/>
  <c r="D16" i="1" s="1"/>
  <c r="E16" i="1" s="1"/>
  <c r="K39" i="2"/>
  <c r="D18" i="1" s="1"/>
  <c r="E18" i="1" s="1"/>
  <c r="K30" i="2"/>
  <c r="D17" i="1" s="1"/>
  <c r="E17" i="1" s="1"/>
  <c r="D19" i="1" l="1"/>
  <c r="E19" i="1" l="1"/>
  <c r="F19" i="1" s="1"/>
  <c r="C20" i="1" s="1"/>
</calcChain>
</file>

<file path=xl/sharedStrings.xml><?xml version="1.0" encoding="utf-8"?>
<sst xmlns="http://schemas.openxmlformats.org/spreadsheetml/2006/main" count="440" uniqueCount="199">
  <si>
    <t>YES Bank Stock Yard Agency Audit</t>
  </si>
  <si>
    <t>Version</t>
  </si>
  <si>
    <t>Ver.2</t>
  </si>
  <si>
    <t>Agency Name</t>
  </si>
  <si>
    <t>Agency Location</t>
  </si>
  <si>
    <t>Agency Address</t>
  </si>
  <si>
    <t xml:space="preserve"> </t>
  </si>
  <si>
    <t>Audit Date</t>
  </si>
  <si>
    <t>Audit Period</t>
  </si>
  <si>
    <t>Audit Firm Name</t>
  </si>
  <si>
    <t>CM Name</t>
  </si>
  <si>
    <t>RCM Name</t>
  </si>
  <si>
    <t>Auditor Name/Contact#</t>
  </si>
  <si>
    <t>CM Employee ID</t>
  </si>
  <si>
    <t>RCM Employee ID</t>
  </si>
  <si>
    <t>Products for which agency does collections</t>
  </si>
  <si>
    <t>Agency person with whom the discussion were held</t>
  </si>
  <si>
    <t>Agency Audit Score</t>
  </si>
  <si>
    <t xml:space="preserve">Final Audit Score </t>
  </si>
  <si>
    <t>Weightage</t>
  </si>
  <si>
    <t>Actual</t>
  </si>
  <si>
    <t>Percantage</t>
  </si>
  <si>
    <t>Grade</t>
  </si>
  <si>
    <t>Record maintainance</t>
  </si>
  <si>
    <t xml:space="preserve">Security/safety standards </t>
  </si>
  <si>
    <t>Infrastructure &amp; Other</t>
  </si>
  <si>
    <t>Total Score</t>
  </si>
  <si>
    <t>Final Rating on Agency Audit</t>
  </si>
  <si>
    <t>Scoring and Grade Matrix</t>
  </si>
  <si>
    <t>Score</t>
  </si>
  <si>
    <t>Performance</t>
  </si>
  <si>
    <t>A+</t>
  </si>
  <si>
    <t>Excellent</t>
  </si>
  <si>
    <t>90-99</t>
  </si>
  <si>
    <t>A</t>
  </si>
  <si>
    <t>Very Good</t>
  </si>
  <si>
    <t>80-89</t>
  </si>
  <si>
    <t>B+</t>
  </si>
  <si>
    <t>Good</t>
  </si>
  <si>
    <t>70-79</t>
  </si>
  <si>
    <t>B</t>
  </si>
  <si>
    <t>Satisfactory</t>
  </si>
  <si>
    <t>60-69</t>
  </si>
  <si>
    <t>C+</t>
  </si>
  <si>
    <t>Unsatisfactory</t>
  </si>
  <si>
    <t>59 and Below</t>
  </si>
  <si>
    <t>C</t>
  </si>
  <si>
    <t>Poor</t>
  </si>
  <si>
    <t>Sr. No.</t>
  </si>
  <si>
    <t>Main Category</t>
  </si>
  <si>
    <t>Check points Category</t>
  </si>
  <si>
    <t>Risk Level</t>
  </si>
  <si>
    <t>Details to be checked</t>
  </si>
  <si>
    <t>Points to be checked</t>
  </si>
  <si>
    <t>Clarification</t>
  </si>
  <si>
    <t>Scoring Parameter</t>
  </si>
  <si>
    <t>Complied (Yes/No)</t>
  </si>
  <si>
    <t>No. of Errors</t>
  </si>
  <si>
    <t>Observations</t>
  </si>
  <si>
    <t>Revert from CM</t>
  </si>
  <si>
    <t>Revert from Auditor</t>
  </si>
  <si>
    <t>Annx.</t>
  </si>
  <si>
    <t>Agreement Copy</t>
  </si>
  <si>
    <t>Empanelment Documents</t>
  </si>
  <si>
    <t>High</t>
  </si>
  <si>
    <t>Do the Yard manager maintains a copy of Empanelment Documents/Agreement at yard?</t>
  </si>
  <si>
    <t>Agreement has to be signed by both the parties i.e Bank and Agency.</t>
  </si>
  <si>
    <t>The yard manager should keep a copy of Empanelment document/Agreement at yard.
Agreement copy for SAMIL Yard is maintained Centrally at their Head Office.Please donot impact score for SAMIL if agreement copy is not provided at the time of audit.</t>
  </si>
  <si>
    <t>Done : 10 else : -5</t>
  </si>
  <si>
    <t>Yes</t>
  </si>
  <si>
    <t>NA</t>
  </si>
  <si>
    <t>Record Maintainance</t>
  </si>
  <si>
    <t>Visitor register</t>
  </si>
  <si>
    <t>Medium</t>
  </si>
  <si>
    <t>Do all godowns (Yards) have Visitor Register as per prescribed format.</t>
  </si>
  <si>
    <t>Please take photos of visitor register maintained at yard.</t>
  </si>
  <si>
    <r>
      <t xml:space="preserve">The yard keeper ensures that visits of all  Bank staff (including the Collection Manager/possession agents / valuers / prospective customers) are entered in the visitors' register which tracks Inward &amp; Outward of visitors on a daily basis. Specifically check for Valuer entry. </t>
    </r>
    <r>
      <rPr>
        <b/>
        <u/>
        <sz val="9"/>
        <rFont val="Book Antiqua"/>
        <family val="1"/>
      </rPr>
      <t>Please dont impact score of Yard if CP/SL has not visited Yard.</t>
    </r>
  </si>
  <si>
    <t>Stock Register</t>
  </si>
  <si>
    <t>Do all godowns (Yards) have stock register as per prescribed format. (Vehicle movement to be updated on immediate basis in the stock register).</t>
  </si>
  <si>
    <t>Please take photo of stock inward and outward register.</t>
  </si>
  <si>
    <t>Vehicle movement to be updated on immediate basis in the stock register.</t>
  </si>
  <si>
    <t xml:space="preserve">Authorized signatory </t>
  </si>
  <si>
    <t>Whether authorized signatory list with specimen signatures was available at yard. Latest Authorized signatory list sent by Central Team in the month of July'22 to be maintained in the yard.</t>
  </si>
  <si>
    <t>Please take photo of authorized signitory details.</t>
  </si>
  <si>
    <t>Yard Manager to ensure that the authorised signatory list is updated/reviewed after every 6 months</t>
  </si>
  <si>
    <t xml:space="preserve">Inward &amp; outward of repo assets </t>
  </si>
  <si>
    <t>Whether yards are informing the central team for inward and outward of assets through email?
Whether yard Manager inform inventory details of asset possessed to team by mail as soon as asset is deposited in yard ?</t>
  </si>
  <si>
    <t>Please check whether yard has sent mail to Yes Bank when any vehicles are entered in yard and exit from yard.</t>
  </si>
  <si>
    <t xml:space="preserve">As soon as asset is deposited or released from the  yard, Yard manager to : 
- Inform mail, the details of asset possessed or released.
As soon as asset is deposited in yard, Yard manager to : 
- Take complete inventory of asset, note it on same inventory sheet and sign it with time, date &amp; stamp of yard.
- Inform mail, the details of asset possessed. Auditor to confirm with inventory sheets of all vehicles available at Yard. 
</t>
  </si>
  <si>
    <t>Done:10 else :0</t>
  </si>
  <si>
    <t>Key register</t>
  </si>
  <si>
    <t>Has the yard manager taken custody of the asset keys and kept them in safe custody?</t>
  </si>
  <si>
    <t>Pleaase cross check Key register with physical key available at yard.</t>
  </si>
  <si>
    <t>Yard to take the custody of the asset keys. In case, key is not available, then it should be mentioned on repo kit &amp; in yard entry register.</t>
  </si>
  <si>
    <t>Done : 10 else : 0</t>
  </si>
  <si>
    <t>LAN Identification</t>
  </si>
  <si>
    <t>Low</t>
  </si>
  <si>
    <t>Whether LAN mentioned on vehicles as identification mark?</t>
  </si>
  <si>
    <t>Physical stock</t>
  </si>
  <si>
    <t>Has the yard physical stock tallied with the stock register (as on the date of visit by auditors) ?</t>
  </si>
  <si>
    <t>Auditor visiting stock yard should tally the stock</t>
  </si>
  <si>
    <t>Done : 10 else : -20</t>
  </si>
  <si>
    <t>Inspection authorisation letter</t>
  </si>
  <si>
    <t>In case of asset inspection by the dealer/customer,whether a)The authority letter along with the authorised signatory is checked and tallied. b)Whether the original ID proofs along with their copies are collected / checked.</t>
  </si>
  <si>
    <t>Tally the signature while releasing</t>
  </si>
  <si>
    <t>a) Whether process is followed to tally signature in release letter /Delivery order with the specimen signatures? Auditor to do a sample check. b) Whether the original ID proofs along with their copies are checked.c) To check the validity of the asset delivery letter,it should be the same day as mentioned in the letter.</t>
  </si>
  <si>
    <t>Sub-Total</t>
  </si>
  <si>
    <t xml:space="preserve">Security/Safety Standards </t>
  </si>
  <si>
    <t>Parked out of TAT/in unauthorised yard/address</t>
  </si>
  <si>
    <t>Is there any vehicles in open condition like open bonnets,doors and unlocked vehicles</t>
  </si>
  <si>
    <t>Done: 10 else : -5 for each such case</t>
  </si>
  <si>
    <t>Do all the vehicles parked in authorised godown only? If not, whether CH approval available?</t>
  </si>
  <si>
    <t>Done: 10 else : -5 for each such case, upto -10</t>
  </si>
  <si>
    <t xml:space="preserve">No minimum basic security/safety standards </t>
  </si>
  <si>
    <t>Do all the godowns (Yards) have 
I) 24 hours security(security person should not be above 55Yrs) 
(II) Covered from all angles
(III) Cleaning &amp; Washing facility
(IV) Fire extinguishers available and not expired
(V) Separate marked space for  Bank vehicles.
(VI) Lights and halogen lamps at nights,
(VII) Emergency lights during the power failure.
(VIII) Is the yard covered from all four sides with 6 ft wall</t>
  </si>
  <si>
    <t>As per yard categorization shared</t>
  </si>
  <si>
    <t>Done:10 else:Deduct 2 for each error</t>
  </si>
  <si>
    <t>Whether the yard is easily accessible by road.(For ease of parking of heavy vehicle and equipments.</t>
  </si>
  <si>
    <t>Upkeep &amp; location</t>
  </si>
  <si>
    <t>Whether the yard is located in non-flood prone areas and has covered shed for TW,Cars?For FE,CV and CE,open space with hard surface is required.</t>
  </si>
  <si>
    <t>Done : 10 else : 5 for one condition not met,else:0 for  more than one  condition not met.</t>
  </si>
  <si>
    <t>Insurance policy</t>
  </si>
  <si>
    <t>Whether yard owner has taken an insurance policy to cover damage to yard &amp; assets parked in yard due to Fire, Flood, Earthquake &amp; burglary ?</t>
  </si>
  <si>
    <t>Whether amount insured is adequate enough to cover value of assets parked in the yard ?</t>
  </si>
  <si>
    <t>Whether policy is valid i.e not expired as on the date of visit to yard ?</t>
  </si>
  <si>
    <t>Office/PC/internet/telephone/white board related issues</t>
  </si>
  <si>
    <t>I)Whether the yard has a office with PC / Laptop and internet connection,telephone lines,stock register.
II) Key board/ Shelf for storing the keys.(Lan number tag to be attached on the key).</t>
  </si>
  <si>
    <t>For NON-NCMSL yard,any colour board to display the stock is required</t>
  </si>
  <si>
    <t>Yard premised used for resi.workshop etc</t>
  </si>
  <si>
    <t>Whether Yard premises are used for residential purpose (watchman / manager &amp; family staying ) or any other business activities like manufacturing, garage workshop, office etc.?</t>
  </si>
  <si>
    <t xml:space="preserve">Bill </t>
  </si>
  <si>
    <t>Whether Copy of Monthly bill is available at agency? Is There Any Pending Bill ? (If Yes Mention Details).Billing to be checked as per pickup and collection agency payment Grid</t>
  </si>
  <si>
    <t>As per the Grid Stockyard needs to be paid separetly</t>
  </si>
  <si>
    <t>No Dues Certificate related</t>
  </si>
  <si>
    <t>Whether copy of Quaterly NDC is provided by the agency for previous bills that have been paid?&amp; Copy of NDC is maintained at the agency?</t>
  </si>
  <si>
    <t>As per process Stockyard is required to give "No due certificate" for payout given to Stockyard.</t>
  </si>
  <si>
    <t>Non compliance of last month's audit observation.</t>
  </si>
  <si>
    <t>Whether non-compliance reported in the previous period adhered to?</t>
  </si>
  <si>
    <t>Done: 10 else -2 for each such case</t>
  </si>
  <si>
    <t>Audit support</t>
  </si>
  <si>
    <t>Whether full cooperation was received from yard for completing audit?</t>
  </si>
  <si>
    <t>Additional point</t>
  </si>
  <si>
    <t>Any other comment which Auditor wants to give</t>
  </si>
  <si>
    <t>Main category</t>
  </si>
  <si>
    <t>Zone</t>
  </si>
  <si>
    <t>State</t>
  </si>
  <si>
    <t>Location</t>
  </si>
  <si>
    <t>CP Name</t>
  </si>
  <si>
    <t>Employee ID</t>
  </si>
  <si>
    <t>Product</t>
  </si>
  <si>
    <t>Bucket</t>
  </si>
  <si>
    <t>Loan Account No.</t>
  </si>
  <si>
    <t>Customer Name</t>
  </si>
  <si>
    <t>Godown Name</t>
  </si>
  <si>
    <t>Godown Location</t>
  </si>
  <si>
    <t>Sale / Release date</t>
  </si>
  <si>
    <t>Sale / Release Amount</t>
  </si>
  <si>
    <t>Category of mismatch</t>
  </si>
  <si>
    <t>Mismatch Details</t>
  </si>
  <si>
    <t>Repokit Return Date</t>
  </si>
  <si>
    <t>SR.No</t>
  </si>
  <si>
    <t>ValuationMFC Link</t>
  </si>
  <si>
    <t>LAN No</t>
  </si>
  <si>
    <t>Reg No</t>
  </si>
  <si>
    <t>Repo Date</t>
  </si>
  <si>
    <t>Status (found/not found)</t>
  </si>
  <si>
    <t>Date of verification</t>
  </si>
  <si>
    <t>ADL Date</t>
  </si>
  <si>
    <t>Release Date</t>
  </si>
  <si>
    <t>Original Buyer Name</t>
  </si>
  <si>
    <t>Remark</t>
  </si>
  <si>
    <t>Yes, godowns (Yards) have Visitor Register as per prescribed format</t>
  </si>
  <si>
    <t>Yes, yards are informing the central team for inward and outward of assets through email</t>
  </si>
  <si>
    <t>Yes, yard manager taken custody of the asset keys and kept them in safe custody</t>
  </si>
  <si>
    <t>Yes, physical stock tallied with the stock register (as on the date of visit by auditors</t>
  </si>
  <si>
    <t>Yes the same has been complied by the Yard manager</t>
  </si>
  <si>
    <t>No such case was found during the audit</t>
  </si>
  <si>
    <t>Yes, yard is easily accessible by road</t>
  </si>
  <si>
    <t>Yes the same has been Maintained by the Yard manager</t>
  </si>
  <si>
    <t>NA as the same maintained at the Head Office</t>
  </si>
  <si>
    <t>Yes, non-compliance reported in the previous period are rectified and not observed for the current audit period</t>
  </si>
  <si>
    <t>Yes, Full cooperation/complete &amp; timely data was received from agency for completing the audit</t>
  </si>
  <si>
    <t>No comment, No Additional case/observation was observed for the audit period</t>
  </si>
  <si>
    <t xml:space="preserve">Do all the godowns (Yards) have 
I) 24 hours security(security person should not be above 55Yrs) </t>
  </si>
  <si>
    <t>(II) Covered from all angles</t>
  </si>
  <si>
    <t>(III) Cleaning &amp; Washing facility</t>
  </si>
  <si>
    <t>(IV) Fire extinguishers available and not expired</t>
  </si>
  <si>
    <t>(V) Separate marked space for  Bank vehicles.</t>
  </si>
  <si>
    <t>(VI) Lights and halogen lamps at nights,</t>
  </si>
  <si>
    <t>(VII) Emergency lights during the power failure.</t>
  </si>
  <si>
    <t>(VIII) Is the yard covered from all four sides with 6 ft wall</t>
  </si>
  <si>
    <t>I)Whether the yard has a office with PC / Laptop and internet connection,telephone lines,stock register.</t>
  </si>
  <si>
    <t>II) Key board/ Shelf for storing the keys.(Lan number tag to be attached on the key).</t>
  </si>
  <si>
    <t>a) Whether process is followed to tally signature in release letter /Delivery order with the specimen signatures? Auditor to do a sample check.</t>
  </si>
  <si>
    <t>b) Whether the original ID proofs along with their copies are checked.</t>
  </si>
  <si>
    <t>c) To check the validity of the asset delivery letter,it should be the same day as mentioned in the letter.</t>
  </si>
  <si>
    <t>Stockyard</t>
  </si>
  <si>
    <t>Kumar Gaurav Agarwal &amp; Company</t>
  </si>
  <si>
    <t>Sr.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</si>
</sst>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0_);[Red]\(0\)"/>
    <numFmt numFmtId="166" formatCode="0\ ;[Red]\(0\)"/>
  </numFmts>
  <fonts count="21" x14ac:knownFonts="1">
    <font>
      <sz val="11"/>
      <color theme="1"/>
      <name val="Aptos Narrow"/>
      <family val="2"/>
      <scheme val="minor"/>
    </font>
    <font>
      <sz val="11"/>
      <color theme="1"/>
      <name val="Aptos Narrow"/>
      <family val="2"/>
      <scheme val="minor"/>
    </font>
    <font>
      <b/>
      <sz val="10"/>
      <color indexed="9"/>
      <name val="Book Antiqua"/>
      <family val="1"/>
    </font>
    <font>
      <sz val="10"/>
      <color theme="1"/>
      <name val="Book Antiqua"/>
      <family val="1"/>
    </font>
    <font>
      <b/>
      <sz val="10"/>
      <name val="Book Antiqua"/>
      <family val="1"/>
    </font>
    <font>
      <sz val="10"/>
      <name val="Book Antiqua"/>
      <family val="1"/>
    </font>
    <font>
      <sz val="11"/>
      <color rgb="FF006100"/>
      <name val="Aptos Narrow"/>
      <family val="2"/>
      <scheme val="minor"/>
    </font>
    <font>
      <sz val="10"/>
      <color indexed="17"/>
      <name val="Book Antiqua"/>
      <family val="1"/>
    </font>
    <font>
      <b/>
      <sz val="10"/>
      <color theme="1"/>
      <name val="Book Antiqua"/>
      <family val="1"/>
    </font>
    <font>
      <sz val="10"/>
      <color indexed="8"/>
      <name val="Book Antiqua"/>
      <family val="1"/>
    </font>
    <font>
      <b/>
      <u/>
      <sz val="10"/>
      <name val="Book Antiqua"/>
      <family val="1"/>
    </font>
    <font>
      <sz val="10"/>
      <name val="Arial"/>
      <family val="2"/>
    </font>
    <font>
      <b/>
      <sz val="10"/>
      <color rgb="FF00B050"/>
      <name val="Book Antiqua"/>
      <family val="1"/>
    </font>
    <font>
      <b/>
      <sz val="9"/>
      <color indexed="9"/>
      <name val="Book Antiqua"/>
      <family val="1"/>
    </font>
    <font>
      <b/>
      <sz val="9"/>
      <name val="Book Antiqua"/>
      <family val="1"/>
    </font>
    <font>
      <sz val="9"/>
      <name val="Book Antiqua"/>
      <family val="1"/>
    </font>
    <font>
      <b/>
      <u/>
      <sz val="9"/>
      <name val="Book Antiqua"/>
      <family val="1"/>
    </font>
    <font>
      <sz val="9"/>
      <color theme="1"/>
      <name val="Book Antiqua"/>
      <family val="1"/>
    </font>
    <font>
      <b/>
      <sz val="9"/>
      <color theme="2"/>
      <name val="Book Antiqua"/>
      <family val="1"/>
    </font>
    <font>
      <sz val="9"/>
      <color theme="2"/>
      <name val="Book Antiqua"/>
      <family val="1"/>
    </font>
    <font>
      <sz val="9"/>
      <color rgb="FF000000"/>
      <name val="Book Antiqua"/>
      <family val="1"/>
    </font>
  </fonts>
  <fills count="7">
    <fill>
      <patternFill patternType="none"/>
    </fill>
    <fill>
      <patternFill patternType="gray125"/>
    </fill>
    <fill>
      <patternFill patternType="solid">
        <fgColor rgb="FFC6EFCE"/>
      </patternFill>
    </fill>
    <fill>
      <patternFill patternType="solid">
        <fgColor rgb="FF003155"/>
        <bgColor indexed="31"/>
      </patternFill>
    </fill>
    <fill>
      <patternFill patternType="solid">
        <fgColor rgb="FF003155"/>
        <bgColor indexed="64"/>
      </patternFill>
    </fill>
    <fill>
      <patternFill patternType="solid">
        <fgColor theme="0"/>
        <bgColor indexed="64"/>
      </patternFill>
    </fill>
    <fill>
      <patternFill patternType="solid">
        <fgColor theme="9" tint="0.59999389629810485"/>
        <bgColor indexed="64"/>
      </patternFill>
    </fill>
  </fills>
  <borders count="1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s>
  <cellStyleXfs count="12">
    <xf numFmtId="0" fontId="0" fillId="0" borderId="0"/>
    <xf numFmtId="9" fontId="1" fillId="0" borderId="0" applyFont="0" applyFill="0" applyBorder="0" applyAlignment="0" applyProtection="0"/>
    <xf numFmtId="0" fontId="6" fillId="2" borderId="0" applyNumberFormat="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applyNumberFormat="0" applyFill="0" applyBorder="0" applyAlignment="0" applyProtection="0"/>
    <xf numFmtId="0" fontId="11" fillId="0" borderId="0"/>
    <xf numFmtId="0" fontId="11" fillId="0" borderId="0"/>
  </cellStyleXfs>
  <cellXfs count="133">
    <xf numFmtId="0" fontId="0" fillId="0" borderId="0" xfId="0"/>
    <xf numFmtId="0" fontId="3" fillId="0" borderId="0" xfId="0" applyFont="1"/>
    <xf numFmtId="0" fontId="2" fillId="3" borderId="4" xfId="0" applyFont="1" applyFill="1" applyBorder="1" applyAlignment="1">
      <alignment horizontal="left" vertical="center"/>
    </xf>
    <xf numFmtId="0" fontId="4" fillId="0" borderId="4" xfId="0" applyFont="1" applyBorder="1" applyAlignment="1">
      <alignment horizontal="left" vertical="center"/>
    </xf>
    <xf numFmtId="0" fontId="5" fillId="0" borderId="0" xfId="0" applyFont="1" applyAlignment="1">
      <alignment horizontal="left" vertical="center"/>
    </xf>
    <xf numFmtId="0" fontId="7" fillId="0" borderId="0" xfId="2" applyFont="1" applyFill="1" applyBorder="1" applyAlignment="1" applyProtection="1">
      <alignment horizontal="left" vertical="center" wrapText="1"/>
    </xf>
    <xf numFmtId="0" fontId="3" fillId="0" borderId="0" xfId="0" applyFont="1" applyAlignment="1">
      <alignment horizontal="left"/>
    </xf>
    <xf numFmtId="0" fontId="2" fillId="3" borderId="5" xfId="0" applyFont="1" applyFill="1" applyBorder="1" applyAlignment="1">
      <alignment horizontal="left" vertical="center"/>
    </xf>
    <xf numFmtId="49" fontId="8" fillId="0" borderId="5" xfId="0" applyNumberFormat="1" applyFont="1" applyBorder="1" applyAlignment="1">
      <alignment horizontal="left" vertical="center"/>
    </xf>
    <xf numFmtId="164" fontId="4" fillId="0" borderId="5" xfId="0" applyNumberFormat="1" applyFont="1" applyBorder="1" applyAlignment="1">
      <alignment horizontal="left" vertical="center"/>
    </xf>
    <xf numFmtId="0" fontId="4" fillId="0" borderId="5" xfId="0" applyFont="1" applyBorder="1" applyAlignment="1">
      <alignment horizontal="left" vertical="center"/>
    </xf>
    <xf numFmtId="0" fontId="2" fillId="3" borderId="5" xfId="0" applyFont="1" applyFill="1" applyBorder="1" applyAlignment="1">
      <alignment horizontal="left" vertical="center" wrapText="1"/>
    </xf>
    <xf numFmtId="0" fontId="9" fillId="0" borderId="0" xfId="0" applyFont="1" applyAlignment="1">
      <alignment horizontal="left" vertical="center"/>
    </xf>
    <xf numFmtId="0" fontId="10" fillId="0" borderId="0" xfId="0" applyFont="1" applyAlignment="1">
      <alignment horizontal="left" vertical="center"/>
    </xf>
    <xf numFmtId="0" fontId="9" fillId="0" borderId="0" xfId="0" applyFont="1"/>
    <xf numFmtId="0" fontId="9" fillId="0" borderId="0" xfId="0" applyFont="1" applyAlignment="1">
      <alignment wrapText="1"/>
    </xf>
    <xf numFmtId="2" fontId="4" fillId="0" borderId="0" xfId="3" applyNumberFormat="1" applyFont="1" applyFill="1" applyBorder="1" applyAlignment="1" applyProtection="1">
      <alignment horizontal="center" vertical="top"/>
    </xf>
    <xf numFmtId="0" fontId="12" fillId="0" borderId="0" xfId="0" applyFont="1" applyAlignment="1">
      <alignment horizontal="center" vertical="center"/>
    </xf>
    <xf numFmtId="0" fontId="2" fillId="3" borderId="9" xfId="0" applyFont="1" applyFill="1" applyBorder="1" applyAlignment="1">
      <alignment horizontal="left" vertical="center"/>
    </xf>
    <xf numFmtId="1" fontId="8" fillId="0" borderId="5" xfId="4" applyNumberFormat="1" applyFont="1" applyBorder="1" applyAlignment="1">
      <alignment horizontal="center" vertical="center"/>
    </xf>
    <xf numFmtId="9" fontId="4" fillId="0" borderId="5" xfId="3" applyFont="1" applyBorder="1" applyAlignment="1">
      <alignment horizontal="center"/>
    </xf>
    <xf numFmtId="0" fontId="5" fillId="0" borderId="10" xfId="0" applyFont="1" applyBorder="1"/>
    <xf numFmtId="0" fontId="2" fillId="3" borderId="5" xfId="0" applyFont="1" applyFill="1" applyBorder="1" applyAlignment="1">
      <alignment horizontal="center" vertical="center"/>
    </xf>
    <xf numFmtId="9" fontId="2" fillId="3" borderId="5" xfId="1" applyFont="1" applyFill="1" applyBorder="1" applyAlignment="1" applyProtection="1">
      <alignment horizontal="center" vertical="center"/>
    </xf>
    <xf numFmtId="0" fontId="2" fillId="3" borderId="11" xfId="0" applyFont="1" applyFill="1" applyBorder="1" applyAlignment="1">
      <alignment horizontal="left" vertical="center"/>
    </xf>
    <xf numFmtId="0" fontId="10" fillId="0" borderId="0" xfId="0" applyFont="1" applyAlignment="1">
      <alignment vertical="center"/>
    </xf>
    <xf numFmtId="0" fontId="5" fillId="0" borderId="0" xfId="0" applyFont="1" applyAlignment="1">
      <alignment vertical="center"/>
    </xf>
    <xf numFmtId="0" fontId="5" fillId="0" borderId="5" xfId="0" applyFont="1" applyBorder="1" applyAlignment="1">
      <alignment horizontal="left" vertical="center"/>
    </xf>
    <xf numFmtId="0" fontId="5" fillId="0" borderId="5" xfId="0" applyFont="1" applyBorder="1" applyAlignment="1">
      <alignment vertical="center"/>
    </xf>
    <xf numFmtId="0" fontId="13" fillId="4" borderId="6" xfId="0" applyFont="1" applyFill="1" applyBorder="1" applyAlignment="1">
      <alignment horizontal="center" vertical="center" wrapText="1"/>
    </xf>
    <xf numFmtId="0" fontId="13" fillId="4" borderId="7" xfId="0" applyFont="1" applyFill="1" applyBorder="1" applyAlignment="1">
      <alignment horizontal="center" vertical="center" wrapText="1"/>
    </xf>
    <xf numFmtId="0" fontId="13" fillId="4" borderId="7" xfId="5" applyFont="1" applyFill="1" applyBorder="1" applyAlignment="1" applyProtection="1">
      <alignment horizontal="left" vertical="center" wrapText="1"/>
      <protection locked="0"/>
    </xf>
    <xf numFmtId="0" fontId="13" fillId="4" borderId="8" xfId="0" applyFont="1" applyFill="1" applyBorder="1" applyAlignment="1">
      <alignment horizontal="center" vertical="center" wrapText="1"/>
    </xf>
    <xf numFmtId="0" fontId="4" fillId="0" borderId="0" xfId="0" applyFont="1" applyAlignment="1">
      <alignment horizontal="center" vertical="center" wrapText="1"/>
    </xf>
    <xf numFmtId="0" fontId="15" fillId="0" borderId="5" xfId="0" applyFont="1" applyBorder="1" applyAlignment="1">
      <alignment horizontal="left" vertical="top" wrapText="1"/>
    </xf>
    <xf numFmtId="0" fontId="15" fillId="0" borderId="1" xfId="0" applyFont="1" applyBorder="1" applyAlignment="1">
      <alignment horizontal="left" vertical="top" wrapText="1"/>
    </xf>
    <xf numFmtId="0" fontId="15" fillId="0" borderId="10" xfId="0" applyFont="1" applyBorder="1" applyAlignment="1">
      <alignment horizontal="left" vertical="top" wrapText="1"/>
    </xf>
    <xf numFmtId="0" fontId="5" fillId="0" borderId="0" xfId="0" applyFont="1" applyAlignment="1">
      <alignment horizontal="center" vertical="center" wrapText="1"/>
    </xf>
    <xf numFmtId="0" fontId="15" fillId="0" borderId="5" xfId="6" applyFont="1" applyBorder="1" applyAlignment="1" applyProtection="1">
      <alignment vertical="top" wrapText="1"/>
      <protection locked="0"/>
    </xf>
    <xf numFmtId="0" fontId="15" fillId="0" borderId="5" xfId="0" applyFont="1" applyBorder="1" applyAlignment="1">
      <alignment vertical="top" wrapText="1"/>
    </xf>
    <xf numFmtId="0" fontId="15" fillId="0" borderId="1" xfId="0" applyFont="1" applyBorder="1" applyAlignment="1">
      <alignment vertical="top" wrapText="1"/>
    </xf>
    <xf numFmtId="0" fontId="15" fillId="0" borderId="10" xfId="0" applyFont="1" applyBorder="1" applyAlignment="1">
      <alignment vertical="top"/>
    </xf>
    <xf numFmtId="0" fontId="5" fillId="0" borderId="0" xfId="0" applyFont="1" applyAlignment="1">
      <alignment vertical="top"/>
    </xf>
    <xf numFmtId="0" fontId="15" fillId="0" borderId="5" xfId="6" applyFont="1" applyBorder="1" applyAlignment="1" applyProtection="1">
      <alignment horizontal="left" vertical="top" wrapText="1"/>
      <protection locked="0"/>
    </xf>
    <xf numFmtId="0" fontId="15" fillId="0" borderId="1" xfId="6" applyFont="1" applyBorder="1" applyAlignment="1" applyProtection="1">
      <alignment horizontal="left" vertical="top" wrapText="1"/>
      <protection locked="0"/>
    </xf>
    <xf numFmtId="0" fontId="15" fillId="0" borderId="5" xfId="0" applyFont="1" applyBorder="1" applyAlignment="1">
      <alignment vertical="top"/>
    </xf>
    <xf numFmtId="0" fontId="15" fillId="0" borderId="1" xfId="0" applyFont="1" applyBorder="1" applyAlignment="1">
      <alignment vertical="top"/>
    </xf>
    <xf numFmtId="0" fontId="19" fillId="4" borderId="5" xfId="0" applyFont="1" applyFill="1" applyBorder="1" applyAlignment="1">
      <alignment vertical="top"/>
    </xf>
    <xf numFmtId="0" fontId="19" fillId="4" borderId="1" xfId="0" applyFont="1" applyFill="1" applyBorder="1" applyAlignment="1">
      <alignment vertical="top"/>
    </xf>
    <xf numFmtId="0" fontId="19" fillId="4" borderId="10" xfId="0" applyFont="1" applyFill="1" applyBorder="1" applyAlignment="1">
      <alignment vertical="top"/>
    </xf>
    <xf numFmtId="0" fontId="15" fillId="0" borderId="5" xfId="0" applyFont="1" applyBorder="1" applyAlignment="1" applyProtection="1">
      <alignment horizontal="left" vertical="top" wrapText="1"/>
      <protection locked="0"/>
    </xf>
    <xf numFmtId="0" fontId="15" fillId="0" borderId="5" xfId="7" applyFont="1" applyBorder="1" applyAlignment="1" applyProtection="1">
      <alignment horizontal="justify" vertical="top" wrapText="1"/>
      <protection locked="0"/>
    </xf>
    <xf numFmtId="0" fontId="15" fillId="0" borderId="1" xfId="7" applyFont="1" applyBorder="1" applyAlignment="1" applyProtection="1">
      <alignment horizontal="justify" vertical="top" wrapText="1"/>
      <protection locked="0"/>
    </xf>
    <xf numFmtId="0" fontId="5" fillId="0" borderId="0" xfId="0" applyFont="1" applyAlignment="1">
      <alignment horizontal="left" vertical="top" wrapText="1"/>
    </xf>
    <xf numFmtId="0" fontId="15" fillId="0" borderId="1" xfId="6" applyFont="1" applyBorder="1" applyAlignment="1" applyProtection="1">
      <alignment vertical="top" wrapText="1"/>
      <protection locked="0"/>
    </xf>
    <xf numFmtId="0" fontId="15" fillId="0" borderId="1" xfId="0" applyFont="1" applyBorder="1" applyAlignment="1" applyProtection="1">
      <alignment horizontal="left" vertical="top" wrapText="1"/>
      <protection locked="0"/>
    </xf>
    <xf numFmtId="0" fontId="17" fillId="0" borderId="5" xfId="0" applyFont="1" applyBorder="1" applyAlignment="1">
      <alignment vertical="center" wrapText="1"/>
    </xf>
    <xf numFmtId="0" fontId="17" fillId="0" borderId="5" xfId="0" applyFont="1" applyBorder="1" applyAlignment="1">
      <alignment horizontal="left" vertical="top" wrapText="1"/>
    </xf>
    <xf numFmtId="0" fontId="17" fillId="0" borderId="1" xfId="0" applyFont="1" applyBorder="1" applyAlignment="1">
      <alignment horizontal="left" vertical="top" wrapText="1"/>
    </xf>
    <xf numFmtId="0" fontId="20" fillId="0" borderId="5" xfId="0" applyFont="1" applyBorder="1" applyAlignment="1">
      <alignment horizontal="left" vertical="center" wrapText="1"/>
    </xf>
    <xf numFmtId="0" fontId="19" fillId="4" borderId="12" xfId="0" applyFont="1" applyFill="1" applyBorder="1" applyAlignment="1">
      <alignment vertical="top"/>
    </xf>
    <xf numFmtId="0" fontId="19" fillId="4" borderId="14" xfId="0" applyFont="1" applyFill="1" applyBorder="1" applyAlignment="1">
      <alignment vertical="top"/>
    </xf>
    <xf numFmtId="0" fontId="19" fillId="4" borderId="13" xfId="0" applyFont="1" applyFill="1" applyBorder="1" applyAlignment="1">
      <alignment vertical="top"/>
    </xf>
    <xf numFmtId="0" fontId="5" fillId="0" borderId="0" xfId="0" applyFont="1" applyAlignment="1">
      <alignment horizontal="center" vertical="top"/>
    </xf>
    <xf numFmtId="0" fontId="5" fillId="0" borderId="0" xfId="0" applyFont="1" applyAlignment="1">
      <alignment horizontal="left" vertical="top"/>
    </xf>
    <xf numFmtId="0" fontId="2" fillId="4" borderId="5" xfId="5" applyFont="1" applyFill="1" applyBorder="1" applyAlignment="1" applyProtection="1">
      <alignment horizontal="left" vertical="center"/>
      <protection locked="0"/>
    </xf>
    <xf numFmtId="0" fontId="2" fillId="4" borderId="6" xfId="5" applyFont="1" applyFill="1" applyBorder="1" applyAlignment="1" applyProtection="1">
      <alignment horizontal="center" vertical="center"/>
      <protection locked="0"/>
    </xf>
    <xf numFmtId="0" fontId="4" fillId="6" borderId="7" xfId="0" applyFont="1" applyFill="1" applyBorder="1" applyAlignment="1">
      <alignment horizontal="center" vertical="center"/>
    </xf>
    <xf numFmtId="0" fontId="2" fillId="4" borderId="7" xfId="5" applyFont="1" applyFill="1" applyBorder="1" applyAlignment="1" applyProtection="1">
      <alignment horizontal="center" vertical="center"/>
      <protection locked="0"/>
    </xf>
    <xf numFmtId="14" fontId="2" fillId="4" borderId="7" xfId="5" applyNumberFormat="1" applyFont="1" applyFill="1" applyBorder="1" applyAlignment="1" applyProtection="1">
      <alignment horizontal="center" vertical="center"/>
      <protection locked="0"/>
    </xf>
    <xf numFmtId="0" fontId="2" fillId="4" borderId="8" xfId="5" applyFont="1" applyFill="1" applyBorder="1" applyAlignment="1" applyProtection="1">
      <alignment horizontal="center" vertical="center"/>
      <protection locked="0"/>
    </xf>
    <xf numFmtId="14" fontId="3" fillId="0" borderId="0" xfId="0" applyNumberFormat="1" applyFont="1"/>
    <xf numFmtId="0" fontId="14" fillId="0" borderId="9" xfId="0" applyFont="1" applyBorder="1" applyAlignment="1">
      <alignment horizontal="center" vertical="center" wrapText="1"/>
    </xf>
    <xf numFmtId="0" fontId="15" fillId="5" borderId="5" xfId="0" applyFont="1" applyFill="1" applyBorder="1" applyAlignment="1">
      <alignment horizontal="left" vertical="center" wrapText="1"/>
    </xf>
    <xf numFmtId="0" fontId="15" fillId="0" borderId="5" xfId="0" applyFont="1" applyBorder="1" applyAlignment="1">
      <alignment horizontal="left" vertical="center" wrapText="1"/>
    </xf>
    <xf numFmtId="49" fontId="15" fillId="0" borderId="5" xfId="6" applyNumberFormat="1" applyFont="1" applyBorder="1" applyAlignment="1" applyProtection="1">
      <alignment horizontal="left" vertical="center" wrapText="1"/>
      <protection locked="0"/>
    </xf>
    <xf numFmtId="0" fontId="15" fillId="0" borderId="5" xfId="0" applyFont="1" applyBorder="1" applyAlignment="1">
      <alignment horizontal="center" vertical="center"/>
    </xf>
    <xf numFmtId="0" fontId="15" fillId="0" borderId="5" xfId="6" applyFont="1" applyBorder="1" applyAlignment="1" applyProtection="1">
      <alignment vertical="center" wrapText="1"/>
      <protection locked="0"/>
    </xf>
    <xf numFmtId="0" fontId="15" fillId="0" borderId="5" xfId="6" applyFont="1" applyBorder="1" applyAlignment="1" applyProtection="1">
      <alignment horizontal="left" vertical="center" wrapText="1"/>
      <protection locked="0"/>
    </xf>
    <xf numFmtId="0" fontId="15" fillId="0" borderId="5" xfId="0" applyFont="1" applyBorder="1" applyAlignment="1">
      <alignment vertical="center" wrapText="1"/>
    </xf>
    <xf numFmtId="0" fontId="14" fillId="0" borderId="5" xfId="0" applyFont="1" applyBorder="1" applyAlignment="1">
      <alignment vertical="center" wrapText="1"/>
    </xf>
    <xf numFmtId="0" fontId="15" fillId="0" borderId="5" xfId="6" applyFont="1" applyBorder="1" applyAlignment="1" applyProtection="1">
      <alignment horizontal="justify" vertical="center" wrapText="1"/>
      <protection locked="0"/>
    </xf>
    <xf numFmtId="0" fontId="18" fillId="4" borderId="9" xfId="0" applyFont="1" applyFill="1" applyBorder="1" applyAlignment="1">
      <alignment horizontal="center" vertical="center" wrapText="1"/>
    </xf>
    <xf numFmtId="0" fontId="19" fillId="4" borderId="5" xfId="0" applyFont="1" applyFill="1" applyBorder="1" applyAlignment="1">
      <alignment horizontal="left" vertical="center" wrapText="1"/>
    </xf>
    <xf numFmtId="0" fontId="18" fillId="4" borderId="5" xfId="6" applyFont="1" applyFill="1" applyBorder="1" applyAlignment="1" applyProtection="1">
      <alignment horizontal="center" vertical="center" wrapText="1"/>
      <protection locked="0"/>
    </xf>
    <xf numFmtId="0" fontId="19" fillId="4" borderId="5" xfId="6" applyFont="1" applyFill="1" applyBorder="1" applyAlignment="1" applyProtection="1">
      <alignment horizontal="justify" vertical="center" wrapText="1"/>
      <protection locked="0"/>
    </xf>
    <xf numFmtId="49" fontId="19" fillId="4" borderId="5" xfId="6" applyNumberFormat="1" applyFont="1" applyFill="1" applyBorder="1" applyAlignment="1" applyProtection="1">
      <alignment horizontal="left" vertical="center" wrapText="1"/>
      <protection locked="0"/>
    </xf>
    <xf numFmtId="0" fontId="19" fillId="4" borderId="5" xfId="0" applyFont="1" applyFill="1" applyBorder="1" applyAlignment="1">
      <alignment horizontal="center" vertical="center"/>
    </xf>
    <xf numFmtId="0" fontId="18" fillId="4" borderId="5" xfId="0" applyFont="1" applyFill="1" applyBorder="1" applyAlignment="1">
      <alignment horizontal="center" vertical="center"/>
    </xf>
    <xf numFmtId="0" fontId="15" fillId="0" borderId="5" xfId="0" applyFont="1" applyBorder="1" applyAlignment="1">
      <alignment vertical="center"/>
    </xf>
    <xf numFmtId="49" fontId="15" fillId="0" borderId="5" xfId="0" applyNumberFormat="1" applyFont="1" applyBorder="1" applyAlignment="1" applyProtection="1">
      <alignment horizontal="left" vertical="center" wrapText="1"/>
      <protection locked="0"/>
    </xf>
    <xf numFmtId="0" fontId="15" fillId="0" borderId="5" xfId="0" applyFont="1" applyBorder="1" applyAlignment="1" applyProtection="1">
      <alignment horizontal="left" vertical="center" wrapText="1"/>
      <protection locked="0"/>
    </xf>
    <xf numFmtId="0" fontId="15" fillId="0" borderId="5" xfId="7" applyFont="1" applyBorder="1" applyAlignment="1" applyProtection="1">
      <alignment horizontal="justify" vertical="center" wrapText="1"/>
      <protection locked="0"/>
    </xf>
    <xf numFmtId="0" fontId="15" fillId="0" borderId="5" xfId="0" applyFont="1" applyBorder="1" applyAlignment="1" applyProtection="1">
      <alignment horizontal="center" vertical="center" wrapText="1"/>
      <protection locked="0"/>
    </xf>
    <xf numFmtId="0" fontId="15" fillId="0" borderId="5" xfId="6" applyFont="1" applyBorder="1" applyAlignment="1" applyProtection="1">
      <alignment horizontal="center" vertical="center" wrapText="1"/>
      <protection locked="0"/>
    </xf>
    <xf numFmtId="165" fontId="15" fillId="0" borderId="5" xfId="0" applyNumberFormat="1" applyFont="1" applyBorder="1" applyAlignment="1" applyProtection="1">
      <alignment horizontal="center" vertical="center" wrapText="1"/>
      <protection locked="0"/>
    </xf>
    <xf numFmtId="0" fontId="15" fillId="0" borderId="5" xfId="7" applyFont="1" applyBorder="1" applyAlignment="1" applyProtection="1">
      <alignment horizontal="left" vertical="center" wrapText="1"/>
      <protection locked="0"/>
    </xf>
    <xf numFmtId="0" fontId="15" fillId="0" borderId="5" xfId="8" applyFont="1" applyBorder="1" applyAlignment="1">
      <alignment horizontal="left" vertical="center" wrapText="1"/>
    </xf>
    <xf numFmtId="0" fontId="17" fillId="0" borderId="5" xfId="0" applyFont="1" applyBorder="1" applyAlignment="1">
      <alignment horizontal="left" vertical="center" wrapText="1"/>
    </xf>
    <xf numFmtId="0" fontId="17" fillId="0" borderId="5" xfId="0" applyFont="1" applyBorder="1" applyAlignment="1" applyProtection="1">
      <alignment horizontal="left" vertical="center" wrapText="1"/>
      <protection locked="0"/>
    </xf>
    <xf numFmtId="49" fontId="17" fillId="0" borderId="5" xfId="0" applyNumberFormat="1" applyFont="1" applyBorder="1" applyAlignment="1">
      <alignment horizontal="left" vertical="center" wrapText="1"/>
    </xf>
    <xf numFmtId="166" fontId="17" fillId="0" borderId="5" xfId="0" applyNumberFormat="1" applyFont="1" applyBorder="1" applyAlignment="1" applyProtection="1">
      <alignment horizontal="center" vertical="center" wrapText="1"/>
      <protection locked="0"/>
    </xf>
    <xf numFmtId="0" fontId="17" fillId="0" borderId="5" xfId="7" applyFont="1" applyBorder="1" applyAlignment="1" applyProtection="1">
      <alignment horizontal="center" vertical="center" wrapText="1"/>
      <protection locked="0"/>
    </xf>
    <xf numFmtId="0" fontId="20" fillId="0" borderId="5" xfId="0" applyFont="1" applyBorder="1" applyAlignment="1" applyProtection="1">
      <alignment horizontal="left" vertical="center" wrapText="1"/>
      <protection locked="0"/>
    </xf>
    <xf numFmtId="0" fontId="17" fillId="0" borderId="5" xfId="9" applyFont="1" applyFill="1" applyBorder="1" applyAlignment="1" applyProtection="1">
      <alignment horizontal="left" vertical="center" wrapText="1"/>
    </xf>
    <xf numFmtId="0" fontId="17" fillId="0" borderId="5" xfId="0" applyFont="1" applyBorder="1" applyAlignment="1" applyProtection="1">
      <alignment horizontal="center" vertical="center" wrapText="1"/>
      <protection locked="0"/>
    </xf>
    <xf numFmtId="165" fontId="17" fillId="0" borderId="5" xfId="0" applyNumberFormat="1" applyFont="1" applyBorder="1" applyAlignment="1" applyProtection="1">
      <alignment horizontal="center" vertical="center" wrapText="1"/>
      <protection locked="0"/>
    </xf>
    <xf numFmtId="0" fontId="15" fillId="0" borderId="5" xfId="0" applyFont="1" applyBorder="1" applyAlignment="1">
      <alignment horizontal="center" vertical="center" wrapText="1"/>
    </xf>
    <xf numFmtId="0" fontId="18" fillId="4" borderId="11" xfId="0" applyFont="1" applyFill="1" applyBorder="1" applyAlignment="1">
      <alignment horizontal="center" vertical="center" wrapText="1"/>
    </xf>
    <xf numFmtId="0" fontId="19" fillId="4" borderId="12" xfId="0" applyFont="1" applyFill="1" applyBorder="1" applyAlignment="1">
      <alignment horizontal="left" vertical="center" wrapText="1"/>
    </xf>
    <xf numFmtId="0" fontId="18" fillId="4" borderId="12" xfId="6" applyFont="1" applyFill="1" applyBorder="1" applyAlignment="1" applyProtection="1">
      <alignment horizontal="center" vertical="center" wrapText="1"/>
      <protection locked="0"/>
    </xf>
    <xf numFmtId="0" fontId="18" fillId="4" borderId="12" xfId="0" applyFont="1" applyFill="1" applyBorder="1" applyAlignment="1">
      <alignment vertical="center" wrapText="1"/>
    </xf>
    <xf numFmtId="0" fontId="18" fillId="4" borderId="12" xfId="0" applyFont="1" applyFill="1" applyBorder="1" applyAlignment="1">
      <alignment horizontal="center" vertical="center"/>
    </xf>
    <xf numFmtId="0" fontId="18" fillId="4" borderId="12" xfId="0" applyFont="1" applyFill="1" applyBorder="1" applyAlignment="1">
      <alignment horizontal="center" vertical="center" wrapText="1"/>
    </xf>
    <xf numFmtId="0" fontId="15" fillId="0" borderId="3" xfId="0" applyFont="1" applyBorder="1" applyAlignment="1" applyProtection="1">
      <alignment horizontal="left" vertical="center" wrapText="1"/>
      <protection locked="0"/>
    </xf>
    <xf numFmtId="0" fontId="15" fillId="0" borderId="3" xfId="0" applyFont="1" applyBorder="1" applyAlignment="1">
      <alignment horizontal="left" vertical="center" wrapText="1"/>
    </xf>
    <xf numFmtId="0" fontId="19" fillId="4" borderId="5" xfId="0" applyFont="1" applyFill="1" applyBorder="1" applyAlignment="1">
      <alignment vertical="center"/>
    </xf>
    <xf numFmtId="0" fontId="15" fillId="0" borderId="3" xfId="6" applyFont="1" applyBorder="1" applyAlignment="1" applyProtection="1">
      <alignment horizontal="left" vertical="center" wrapText="1"/>
      <protection locked="0"/>
    </xf>
    <xf numFmtId="0" fontId="8" fillId="0" borderId="15" xfId="0" applyFont="1" applyBorder="1" applyAlignment="1">
      <alignment horizontal="left"/>
    </xf>
    <xf numFmtId="0" fontId="5" fillId="0" borderId="0" xfId="10" applyFont="1"/>
    <xf numFmtId="0" fontId="2" fillId="4" borderId="16" xfId="11" applyFont="1" applyFill="1" applyBorder="1" applyAlignment="1" applyProtection="1">
      <alignment vertical="top"/>
      <protection locked="0"/>
    </xf>
    <xf numFmtId="0" fontId="3" fillId="0" borderId="0" xfId="0" applyFont="1" applyAlignment="1">
      <alignment horizontal="center" vertical="center"/>
    </xf>
    <xf numFmtId="0" fontId="2" fillId="3" borderId="10"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8" xfId="0" applyFont="1" applyFill="1" applyBorder="1" applyAlignment="1">
      <alignment horizontal="center" vertical="center"/>
    </xf>
  </cellXfs>
  <cellStyles count="12">
    <cellStyle name="_Amar's Vehicle_Audit_Report_auto_july_agt_06_Nasik Auto Jan. 07_cv_PIVOT 1_SERIES" xfId="7" xr:uid="{FE355C02-A890-44ED-B022-C5E6CD2A5C12}"/>
    <cellStyle name="_DRE JULY'06_Audit_Report_auto_july_agt_06_NPA(AUTO&amp;CV)_MUMBAI_NOV.07_Pre requisites at every yard" xfId="8" xr:uid="{8BFEA49D-2CFB-434C-95DC-31A30913F4F8}"/>
    <cellStyle name="DataPilot Category" xfId="4" xr:uid="{ADCDEB89-84D7-4281-B4AB-1699F7739ACA}"/>
    <cellStyle name="Good" xfId="2" builtinId="26"/>
    <cellStyle name="Nïrmal" xfId="6" xr:uid="{D5D75224-7886-4E12-9F98-678864072AAD}"/>
    <cellStyle name="Normal" xfId="0" builtinId="0"/>
    <cellStyle name="Normal 4" xfId="10" xr:uid="{1D326CE0-EEBB-4BB7-8E17-1DB287E0E88B}"/>
    <cellStyle name="Normal_DM_1" xfId="5" xr:uid="{84E42E0C-F29D-4C89-A936-4B596706F20F}"/>
    <cellStyle name="Normal_DM_1 2" xfId="11" xr:uid="{0C5D67E4-798A-42D4-9B07-E07C10826B6E}"/>
    <cellStyle name="Normal_Sheet1" xfId="9" xr:uid="{6A5835B2-417C-4FD1-981D-A82C97DA63A6}"/>
    <cellStyle name="Percent" xfId="1" builtinId="5"/>
    <cellStyle name="Percent 2" xfId="3" xr:uid="{79369BE8-D1F0-49F3-92D6-B8C4362BAB50}"/>
  </cellStyles>
  <dxfs count="8">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9C8F3-4572-460F-A537-C293C477F76A}">
  <sheetPr codeName="Sheet1"/>
  <dimension ref="B2:H29"/>
  <sheetViews>
    <sheetView tabSelected="1" zoomScaleNormal="100" workbookViewId="0"/>
  </sheetViews>
  <sheetFormatPr defaultColWidth="9.109375" defaultRowHeight="13.8" x14ac:dyDescent="0.3"/>
  <cols>
    <col min="1" max="1" width="3.88671875" style="1" customWidth="1"/>
    <col min="2" max="2" width="33.88671875" style="1" customWidth="1"/>
    <col min="3" max="3" width="43.44140625" style="1" customWidth="1"/>
    <col min="4" max="4" width="34.88671875" style="1" customWidth="1"/>
    <col min="5" max="5" width="63.33203125" style="1" customWidth="1"/>
    <col min="6" max="6" width="21.88671875" style="1" customWidth="1"/>
    <col min="7" max="7" width="48.33203125" style="1" customWidth="1"/>
    <col min="8" max="16384" width="9.109375" style="1"/>
  </cols>
  <sheetData>
    <row r="2" spans="2:8" ht="24.75" customHeight="1" x14ac:dyDescent="0.3">
      <c r="B2" s="125" t="s">
        <v>0</v>
      </c>
      <c r="C2" s="126"/>
      <c r="D2" s="126"/>
      <c r="E2" s="126"/>
      <c r="F2" s="126"/>
      <c r="G2" s="127"/>
    </row>
    <row r="3" spans="2:8" s="119" customFormat="1" x14ac:dyDescent="0.3"/>
    <row r="5" spans="2:8" s="6" customFormat="1" x14ac:dyDescent="0.3">
      <c r="B5" s="2" t="s">
        <v>1</v>
      </c>
      <c r="C5" s="3" t="s">
        <v>2</v>
      </c>
      <c r="D5" s="4"/>
      <c r="E5" s="4"/>
      <c r="F5" s="4"/>
      <c r="G5" s="5"/>
    </row>
    <row r="6" spans="2:8" s="6" customFormat="1" x14ac:dyDescent="0.3">
      <c r="B6" s="7" t="s">
        <v>3</v>
      </c>
      <c r="C6" s="8"/>
      <c r="D6" s="7" t="s">
        <v>4</v>
      </c>
      <c r="E6" s="8"/>
      <c r="F6" s="7" t="s">
        <v>5</v>
      </c>
      <c r="G6" s="8"/>
      <c r="H6" s="6" t="s">
        <v>6</v>
      </c>
    </row>
    <row r="7" spans="2:8" s="6" customFormat="1" x14ac:dyDescent="0.3">
      <c r="B7" s="7" t="s">
        <v>7</v>
      </c>
      <c r="C7" s="9"/>
      <c r="D7" s="7" t="s">
        <v>8</v>
      </c>
      <c r="E7" s="10"/>
      <c r="F7" s="7" t="s">
        <v>9</v>
      </c>
      <c r="G7" s="118" t="s">
        <v>197</v>
      </c>
      <c r="H7" s="6" t="s">
        <v>6</v>
      </c>
    </row>
    <row r="8" spans="2:8" s="6" customFormat="1" x14ac:dyDescent="0.3">
      <c r="B8" s="7" t="s">
        <v>10</v>
      </c>
      <c r="C8" s="10"/>
      <c r="D8" s="7" t="s">
        <v>11</v>
      </c>
      <c r="E8" s="10"/>
      <c r="F8" s="7" t="s">
        <v>12</v>
      </c>
      <c r="G8" s="10"/>
    </row>
    <row r="9" spans="2:8" s="6" customFormat="1" x14ac:dyDescent="0.3">
      <c r="B9" s="7" t="s">
        <v>13</v>
      </c>
      <c r="C9" s="10"/>
      <c r="D9" s="7" t="s">
        <v>14</v>
      </c>
      <c r="E9" s="10" t="s">
        <v>70</v>
      </c>
      <c r="F9" s="4"/>
      <c r="G9" s="4"/>
    </row>
    <row r="10" spans="2:8" s="6" customFormat="1" ht="27.6" x14ac:dyDescent="0.3">
      <c r="B10" s="11" t="s">
        <v>15</v>
      </c>
      <c r="C10" s="10" t="s">
        <v>196</v>
      </c>
      <c r="D10" s="11" t="s">
        <v>16</v>
      </c>
      <c r="E10" s="10"/>
      <c r="F10" s="12" t="s">
        <v>6</v>
      </c>
      <c r="G10" s="5"/>
    </row>
    <row r="12" spans="2:8" x14ac:dyDescent="0.3">
      <c r="B12" s="13" t="s">
        <v>17</v>
      </c>
      <c r="C12" s="14"/>
      <c r="D12" s="14"/>
      <c r="E12" s="14"/>
      <c r="F12" s="14"/>
      <c r="G12" s="14"/>
      <c r="H12" s="15"/>
    </row>
    <row r="13" spans="2:8" ht="14.4" thickBot="1" x14ac:dyDescent="0.35"/>
    <row r="14" spans="2:8" x14ac:dyDescent="0.3">
      <c r="B14" s="128" t="s">
        <v>18</v>
      </c>
      <c r="C14" s="130" t="s">
        <v>19</v>
      </c>
      <c r="D14" s="130" t="s">
        <v>20</v>
      </c>
      <c r="E14" s="130" t="s">
        <v>21</v>
      </c>
      <c r="F14" s="132" t="s">
        <v>22</v>
      </c>
      <c r="G14" s="16"/>
      <c r="H14" s="16"/>
    </row>
    <row r="15" spans="2:8" x14ac:dyDescent="0.3">
      <c r="B15" s="129"/>
      <c r="C15" s="131"/>
      <c r="D15" s="131"/>
      <c r="E15" s="131"/>
      <c r="F15" s="122"/>
      <c r="G15" s="17"/>
      <c r="H15" s="17"/>
    </row>
    <row r="16" spans="2:8" x14ac:dyDescent="0.3">
      <c r="B16" s="18" t="s">
        <v>23</v>
      </c>
      <c r="C16" s="19">
        <v>40</v>
      </c>
      <c r="D16" s="19">
        <f>Checklist!K14</f>
        <v>40</v>
      </c>
      <c r="E16" s="20">
        <f>D16/C16</f>
        <v>1</v>
      </c>
      <c r="F16" s="21"/>
    </row>
    <row r="17" spans="2:6" x14ac:dyDescent="0.3">
      <c r="B17" s="18" t="s">
        <v>24</v>
      </c>
      <c r="C17" s="19">
        <v>50</v>
      </c>
      <c r="D17" s="19">
        <f>Checklist!K30</f>
        <v>50</v>
      </c>
      <c r="E17" s="20">
        <f>D17/C17</f>
        <v>1</v>
      </c>
      <c r="F17" s="21"/>
    </row>
    <row r="18" spans="2:6" x14ac:dyDescent="0.3">
      <c r="B18" s="18" t="s">
        <v>25</v>
      </c>
      <c r="C18" s="19">
        <v>10</v>
      </c>
      <c r="D18" s="19">
        <f>Checklist!K39</f>
        <v>10</v>
      </c>
      <c r="E18" s="20">
        <f>D18/C18</f>
        <v>1</v>
      </c>
      <c r="F18" s="21"/>
    </row>
    <row r="19" spans="2:6" x14ac:dyDescent="0.3">
      <c r="B19" s="18" t="s">
        <v>26</v>
      </c>
      <c r="C19" s="22">
        <f>SUM(C16:C18)</f>
        <v>100</v>
      </c>
      <c r="D19" s="22">
        <f>SUM(D16:D18)</f>
        <v>100</v>
      </c>
      <c r="E19" s="23">
        <f>D19/C19</f>
        <v>1</v>
      </c>
      <c r="F19" s="122" t="str">
        <f>IF(ROUNDUP(E19,2)&lt;60%,"C",IF(ROUNDUP(E19,2)&lt;70%,"C+",IF(ROUNDUP(E19,2)&lt;80%,"B",IF(ROUNDUP(E19,2)&lt;90%,"B+",IF(ROUNDUP(E19,2)&lt;100%,"A","A+")))))</f>
        <v>A+</v>
      </c>
    </row>
    <row r="20" spans="2:6" ht="14.4" thickBot="1" x14ac:dyDescent="0.35">
      <c r="B20" s="24" t="s">
        <v>27</v>
      </c>
      <c r="C20" s="124" t="str">
        <f>VLOOKUP($F$19,$C$23:$D$29,2,FALSE)</f>
        <v>Excellent</v>
      </c>
      <c r="D20" s="124"/>
      <c r="E20" s="124"/>
      <c r="F20" s="123"/>
    </row>
    <row r="22" spans="2:6" x14ac:dyDescent="0.3">
      <c r="B22" s="25" t="s">
        <v>28</v>
      </c>
      <c r="C22" s="26"/>
      <c r="D22" s="26"/>
    </row>
    <row r="23" spans="2:6" x14ac:dyDescent="0.3">
      <c r="B23" s="7" t="s">
        <v>29</v>
      </c>
      <c r="C23" s="7" t="s">
        <v>22</v>
      </c>
      <c r="D23" s="7" t="s">
        <v>30</v>
      </c>
    </row>
    <row r="24" spans="2:6" x14ac:dyDescent="0.3">
      <c r="B24" s="27">
        <v>100</v>
      </c>
      <c r="C24" s="28" t="s">
        <v>31</v>
      </c>
      <c r="D24" s="28" t="s">
        <v>32</v>
      </c>
    </row>
    <row r="25" spans="2:6" x14ac:dyDescent="0.3">
      <c r="B25" s="28" t="s">
        <v>33</v>
      </c>
      <c r="C25" s="28" t="s">
        <v>34</v>
      </c>
      <c r="D25" s="28" t="s">
        <v>35</v>
      </c>
    </row>
    <row r="26" spans="2:6" x14ac:dyDescent="0.3">
      <c r="B26" s="28" t="s">
        <v>36</v>
      </c>
      <c r="C26" s="28" t="s">
        <v>37</v>
      </c>
      <c r="D26" s="28" t="s">
        <v>38</v>
      </c>
    </row>
    <row r="27" spans="2:6" x14ac:dyDescent="0.3">
      <c r="B27" s="28" t="s">
        <v>39</v>
      </c>
      <c r="C27" s="28" t="s">
        <v>40</v>
      </c>
      <c r="D27" s="28" t="s">
        <v>41</v>
      </c>
    </row>
    <row r="28" spans="2:6" x14ac:dyDescent="0.3">
      <c r="B28" s="28" t="s">
        <v>42</v>
      </c>
      <c r="C28" s="28" t="s">
        <v>43</v>
      </c>
      <c r="D28" s="28" t="s">
        <v>44</v>
      </c>
    </row>
    <row r="29" spans="2:6" x14ac:dyDescent="0.3">
      <c r="B29" s="28" t="s">
        <v>45</v>
      </c>
      <c r="C29" s="28" t="s">
        <v>46</v>
      </c>
      <c r="D29" s="28" t="s">
        <v>47</v>
      </c>
    </row>
  </sheetData>
  <mergeCells count="8">
    <mergeCell ref="F19:F20"/>
    <mergeCell ref="C20:E20"/>
    <mergeCell ref="B2:G2"/>
    <mergeCell ref="B14:B15"/>
    <mergeCell ref="C14:C15"/>
    <mergeCell ref="D14:D15"/>
    <mergeCell ref="E14:E15"/>
    <mergeCell ref="F14:F15"/>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F1727-2E68-4A1E-AB0D-829965260BA0}">
  <sheetPr codeName="Sheet2"/>
  <dimension ref="A1:O39"/>
  <sheetViews>
    <sheetView showGridLines="0" workbookViewId="0">
      <pane ySplit="1" topLeftCell="A2" activePane="bottomLeft" state="frozen"/>
      <selection activeCell="A15" sqref="A15"/>
      <selection pane="bottomLeft"/>
    </sheetView>
  </sheetViews>
  <sheetFormatPr defaultColWidth="9.109375" defaultRowHeight="13.8" x14ac:dyDescent="0.3"/>
  <cols>
    <col min="1" max="1" width="7.88671875" style="42" customWidth="1"/>
    <col min="2" max="2" width="14" style="42" customWidth="1"/>
    <col min="3" max="4" width="16.5546875" style="42" customWidth="1"/>
    <col min="5" max="6" width="30.6640625" style="42" customWidth="1"/>
    <col min="7" max="7" width="43.33203125" style="42" customWidth="1"/>
    <col min="8" max="8" width="22.6640625" style="42" customWidth="1"/>
    <col min="9" max="9" width="13.44140625" style="42" bestFit="1" customWidth="1"/>
    <col min="10" max="10" width="10.5546875" style="42" bestFit="1" customWidth="1"/>
    <col min="11" max="11" width="9.88671875" style="63" bestFit="1" customWidth="1"/>
    <col min="12" max="12" width="44.109375" style="42" customWidth="1"/>
    <col min="13" max="13" width="18.88671875" style="42" bestFit="1" customWidth="1"/>
    <col min="14" max="14" width="22.109375" style="42" bestFit="1" customWidth="1"/>
    <col min="15" max="15" width="10.109375" style="64" bestFit="1" customWidth="1"/>
    <col min="16" max="16384" width="9.109375" style="42"/>
  </cols>
  <sheetData>
    <row r="1" spans="1:15" s="33" customFormat="1" ht="39.75" customHeight="1" x14ac:dyDescent="0.3">
      <c r="A1" s="29" t="s">
        <v>48</v>
      </c>
      <c r="B1" s="30" t="s">
        <v>49</v>
      </c>
      <c r="C1" s="30" t="s">
        <v>50</v>
      </c>
      <c r="D1" s="30" t="s">
        <v>51</v>
      </c>
      <c r="E1" s="30" t="s">
        <v>52</v>
      </c>
      <c r="F1" s="31" t="s">
        <v>53</v>
      </c>
      <c r="G1" s="30" t="s">
        <v>54</v>
      </c>
      <c r="H1" s="30" t="s">
        <v>55</v>
      </c>
      <c r="I1" s="30" t="s">
        <v>56</v>
      </c>
      <c r="J1" s="30" t="s">
        <v>57</v>
      </c>
      <c r="K1" s="30" t="s">
        <v>29</v>
      </c>
      <c r="L1" s="30" t="s">
        <v>58</v>
      </c>
      <c r="M1" s="30" t="s">
        <v>59</v>
      </c>
      <c r="N1" s="30" t="s">
        <v>60</v>
      </c>
      <c r="O1" s="32" t="s">
        <v>61</v>
      </c>
    </row>
    <row r="2" spans="1:15" s="37" customFormat="1" ht="79.2" x14ac:dyDescent="0.3">
      <c r="A2" s="72">
        <v>1</v>
      </c>
      <c r="B2" s="73" t="s">
        <v>62</v>
      </c>
      <c r="C2" s="74" t="s">
        <v>63</v>
      </c>
      <c r="D2" s="74" t="s">
        <v>64</v>
      </c>
      <c r="E2" s="74" t="s">
        <v>65</v>
      </c>
      <c r="F2" s="74" t="s">
        <v>66</v>
      </c>
      <c r="G2" s="74" t="s">
        <v>67</v>
      </c>
      <c r="H2" s="75" t="s">
        <v>68</v>
      </c>
      <c r="I2" s="76" t="s">
        <v>70</v>
      </c>
      <c r="J2" s="76" t="s">
        <v>70</v>
      </c>
      <c r="K2" s="76" t="str">
        <f>IF(I2="NA","NA",IF(I2="Yes",10,-5))</f>
        <v>NA</v>
      </c>
      <c r="L2" s="114" t="s">
        <v>179</v>
      </c>
      <c r="M2" s="34"/>
      <c r="N2" s="35"/>
      <c r="O2" s="36"/>
    </row>
    <row r="3" spans="1:15" ht="91.2" x14ac:dyDescent="0.3">
      <c r="A3" s="72">
        <v>2</v>
      </c>
      <c r="B3" s="73" t="s">
        <v>71</v>
      </c>
      <c r="C3" s="74" t="s">
        <v>72</v>
      </c>
      <c r="D3" s="74" t="s">
        <v>73</v>
      </c>
      <c r="E3" s="77" t="s">
        <v>74</v>
      </c>
      <c r="F3" s="77" t="s">
        <v>75</v>
      </c>
      <c r="G3" s="74" t="s">
        <v>76</v>
      </c>
      <c r="H3" s="75" t="s">
        <v>68</v>
      </c>
      <c r="I3" s="76" t="s">
        <v>69</v>
      </c>
      <c r="J3" s="76" t="s">
        <v>70</v>
      </c>
      <c r="K3" s="76">
        <f>IF(I3="NA","NA",IF(I3="Yes",10,-5))</f>
        <v>10</v>
      </c>
      <c r="L3" s="115" t="s">
        <v>171</v>
      </c>
      <c r="M3" s="39"/>
      <c r="N3" s="40"/>
      <c r="O3" s="41"/>
    </row>
    <row r="4" spans="1:15" ht="52.8" x14ac:dyDescent="0.3">
      <c r="A4" s="72">
        <v>3</v>
      </c>
      <c r="B4" s="73" t="s">
        <v>71</v>
      </c>
      <c r="C4" s="74" t="s">
        <v>77</v>
      </c>
      <c r="D4" s="74" t="s">
        <v>73</v>
      </c>
      <c r="E4" s="77" t="s">
        <v>78</v>
      </c>
      <c r="F4" s="77" t="s">
        <v>79</v>
      </c>
      <c r="G4" s="74" t="s">
        <v>80</v>
      </c>
      <c r="H4" s="75" t="s">
        <v>68</v>
      </c>
      <c r="I4" s="76" t="s">
        <v>69</v>
      </c>
      <c r="J4" s="76" t="s">
        <v>70</v>
      </c>
      <c r="K4" s="76">
        <f>IF(I4="NA","NA",IF(I4="Yes",10,-5))</f>
        <v>10</v>
      </c>
      <c r="L4" s="115" t="s">
        <v>175</v>
      </c>
      <c r="M4" s="39"/>
      <c r="N4" s="40"/>
      <c r="O4" s="41"/>
    </row>
    <row r="5" spans="1:15" ht="66" x14ac:dyDescent="0.3">
      <c r="A5" s="72">
        <v>4</v>
      </c>
      <c r="B5" s="73" t="s">
        <v>71</v>
      </c>
      <c r="C5" s="74" t="s">
        <v>81</v>
      </c>
      <c r="D5" s="74" t="s">
        <v>64</v>
      </c>
      <c r="E5" s="77" t="s">
        <v>82</v>
      </c>
      <c r="F5" s="77" t="s">
        <v>83</v>
      </c>
      <c r="G5" s="78" t="s">
        <v>84</v>
      </c>
      <c r="H5" s="75" t="s">
        <v>68</v>
      </c>
      <c r="I5" s="76" t="s">
        <v>69</v>
      </c>
      <c r="J5" s="76" t="s">
        <v>70</v>
      </c>
      <c r="K5" s="76">
        <f>IF(I5="NA","NA",IF(I5="Yes",10,-5))</f>
        <v>10</v>
      </c>
      <c r="L5" s="115" t="s">
        <v>175</v>
      </c>
      <c r="M5" s="43"/>
      <c r="N5" s="44"/>
      <c r="O5" s="41"/>
    </row>
    <row r="6" spans="1:15" ht="145.19999999999999" x14ac:dyDescent="0.3">
      <c r="A6" s="72">
        <v>5</v>
      </c>
      <c r="B6" s="73" t="s">
        <v>71</v>
      </c>
      <c r="C6" s="56" t="s">
        <v>85</v>
      </c>
      <c r="D6" s="74" t="s">
        <v>73</v>
      </c>
      <c r="E6" s="74" t="s">
        <v>86</v>
      </c>
      <c r="F6" s="74" t="s">
        <v>87</v>
      </c>
      <c r="G6" s="78" t="s">
        <v>88</v>
      </c>
      <c r="H6" s="75" t="s">
        <v>89</v>
      </c>
      <c r="I6" s="76" t="s">
        <v>69</v>
      </c>
      <c r="J6" s="76" t="s">
        <v>70</v>
      </c>
      <c r="K6" s="76">
        <f t="shared" ref="K6:K7" si="0">IF(I6="NA","NA",IF(I6="Yes",10,0))</f>
        <v>10</v>
      </c>
      <c r="L6" s="115" t="s">
        <v>172</v>
      </c>
      <c r="M6" s="39"/>
      <c r="N6" s="40"/>
      <c r="O6" s="41"/>
    </row>
    <row r="7" spans="1:15" ht="39.6" x14ac:dyDescent="0.3">
      <c r="A7" s="72">
        <v>6</v>
      </c>
      <c r="B7" s="73" t="s">
        <v>71</v>
      </c>
      <c r="C7" s="74" t="s">
        <v>90</v>
      </c>
      <c r="D7" s="74" t="s">
        <v>64</v>
      </c>
      <c r="E7" s="78" t="s">
        <v>91</v>
      </c>
      <c r="F7" s="78" t="s">
        <v>92</v>
      </c>
      <c r="G7" s="74" t="s">
        <v>93</v>
      </c>
      <c r="H7" s="75" t="s">
        <v>94</v>
      </c>
      <c r="I7" s="76" t="s">
        <v>69</v>
      </c>
      <c r="J7" s="76" t="s">
        <v>70</v>
      </c>
      <c r="K7" s="76">
        <f t="shared" si="0"/>
        <v>10</v>
      </c>
      <c r="L7" s="115" t="s">
        <v>173</v>
      </c>
      <c r="M7" s="39"/>
      <c r="N7" s="40"/>
      <c r="O7" s="41"/>
    </row>
    <row r="8" spans="1:15" ht="26.4" x14ac:dyDescent="0.3">
      <c r="A8" s="72">
        <v>7</v>
      </c>
      <c r="B8" s="73" t="s">
        <v>71</v>
      </c>
      <c r="C8" s="74" t="s">
        <v>95</v>
      </c>
      <c r="D8" s="74" t="s">
        <v>96</v>
      </c>
      <c r="E8" s="78" t="s">
        <v>97</v>
      </c>
      <c r="F8" s="78" t="s">
        <v>97</v>
      </c>
      <c r="G8" s="79"/>
      <c r="H8" s="75" t="s">
        <v>68</v>
      </c>
      <c r="I8" s="76" t="s">
        <v>69</v>
      </c>
      <c r="J8" s="76" t="s">
        <v>70</v>
      </c>
      <c r="K8" s="76">
        <f>IF(I8="NA","NA",IF(I8="Yes",10,-5))</f>
        <v>10</v>
      </c>
      <c r="L8" s="115" t="s">
        <v>175</v>
      </c>
      <c r="M8" s="45"/>
      <c r="N8" s="46"/>
      <c r="O8" s="41"/>
    </row>
    <row r="9" spans="1:15" ht="39.6" x14ac:dyDescent="0.3">
      <c r="A9" s="72">
        <v>8</v>
      </c>
      <c r="B9" s="73" t="s">
        <v>71</v>
      </c>
      <c r="C9" s="74" t="s">
        <v>98</v>
      </c>
      <c r="D9" s="74" t="s">
        <v>64</v>
      </c>
      <c r="E9" s="78" t="s">
        <v>99</v>
      </c>
      <c r="F9" s="78" t="s">
        <v>99</v>
      </c>
      <c r="G9" s="79" t="s">
        <v>100</v>
      </c>
      <c r="H9" s="75" t="s">
        <v>101</v>
      </c>
      <c r="I9" s="76" t="s">
        <v>69</v>
      </c>
      <c r="J9" s="76" t="s">
        <v>70</v>
      </c>
      <c r="K9" s="76">
        <f>IF(I9="NA","NA",IF(I9="Yes",10,-20))</f>
        <v>10</v>
      </c>
      <c r="L9" s="115" t="s">
        <v>174</v>
      </c>
      <c r="M9" s="39"/>
      <c r="N9" s="40"/>
      <c r="O9" s="41"/>
    </row>
    <row r="10" spans="1:15" ht="92.4" x14ac:dyDescent="0.3">
      <c r="A10" s="72">
        <v>9</v>
      </c>
      <c r="B10" s="73" t="s">
        <v>71</v>
      </c>
      <c r="C10" s="74" t="s">
        <v>102</v>
      </c>
      <c r="D10" s="74" t="s">
        <v>64</v>
      </c>
      <c r="E10" s="78" t="s">
        <v>103</v>
      </c>
      <c r="F10" s="78" t="s">
        <v>103</v>
      </c>
      <c r="G10" s="80"/>
      <c r="H10" s="75" t="s">
        <v>68</v>
      </c>
      <c r="I10" s="76" t="s">
        <v>69</v>
      </c>
      <c r="J10" s="76" t="s">
        <v>70</v>
      </c>
      <c r="K10" s="76">
        <f>IF(I10="NA","NA",IF(I10="Yes",10,-5))</f>
        <v>10</v>
      </c>
      <c r="L10" s="115" t="s">
        <v>175</v>
      </c>
      <c r="M10" s="39"/>
      <c r="N10" s="40"/>
      <c r="O10" s="41"/>
    </row>
    <row r="11" spans="1:15" ht="118.8" x14ac:dyDescent="0.3">
      <c r="A11" s="72">
        <v>10</v>
      </c>
      <c r="B11" s="73" t="s">
        <v>71</v>
      </c>
      <c r="C11" s="74" t="s">
        <v>104</v>
      </c>
      <c r="D11" s="74" t="s">
        <v>64</v>
      </c>
      <c r="E11" s="78" t="s">
        <v>105</v>
      </c>
      <c r="F11" s="78" t="s">
        <v>193</v>
      </c>
      <c r="G11" s="81"/>
      <c r="H11" s="75" t="s">
        <v>68</v>
      </c>
      <c r="I11" s="76" t="s">
        <v>69</v>
      </c>
      <c r="J11" s="76" t="s">
        <v>70</v>
      </c>
      <c r="K11" s="76">
        <f>IF(I11="NA","NA",IF(I11="Yes",10,-5))</f>
        <v>10</v>
      </c>
      <c r="L11" s="115" t="s">
        <v>175</v>
      </c>
      <c r="M11" s="45"/>
      <c r="N11" s="46"/>
      <c r="O11" s="41"/>
    </row>
    <row r="12" spans="1:15" ht="118.8" x14ac:dyDescent="0.3">
      <c r="A12" s="72">
        <v>11</v>
      </c>
      <c r="B12" s="73" t="s">
        <v>71</v>
      </c>
      <c r="C12" s="74" t="s">
        <v>104</v>
      </c>
      <c r="D12" s="74" t="s">
        <v>64</v>
      </c>
      <c r="E12" s="78" t="s">
        <v>105</v>
      </c>
      <c r="F12" s="78" t="s">
        <v>194</v>
      </c>
      <c r="G12" s="81"/>
      <c r="H12" s="75" t="s">
        <v>68</v>
      </c>
      <c r="I12" s="76" t="s">
        <v>69</v>
      </c>
      <c r="J12" s="76" t="s">
        <v>70</v>
      </c>
      <c r="K12" s="76">
        <f>IF(I12="NA","NA",IF(I12="Yes",10,-5))</f>
        <v>10</v>
      </c>
      <c r="L12" s="115" t="s">
        <v>175</v>
      </c>
      <c r="M12" s="45"/>
      <c r="N12" s="46"/>
      <c r="O12" s="41"/>
    </row>
    <row r="13" spans="1:15" ht="118.8" x14ac:dyDescent="0.3">
      <c r="A13" s="72">
        <v>12</v>
      </c>
      <c r="B13" s="73" t="s">
        <v>71</v>
      </c>
      <c r="C13" s="74" t="s">
        <v>104</v>
      </c>
      <c r="D13" s="74" t="s">
        <v>64</v>
      </c>
      <c r="E13" s="78" t="s">
        <v>105</v>
      </c>
      <c r="F13" s="78" t="s">
        <v>195</v>
      </c>
      <c r="G13" s="81"/>
      <c r="H13" s="75" t="s">
        <v>68</v>
      </c>
      <c r="I13" s="76" t="s">
        <v>69</v>
      </c>
      <c r="J13" s="76" t="s">
        <v>70</v>
      </c>
      <c r="K13" s="76">
        <f>IF(I13="NA","NA",IF(I13="Yes",10,-5))</f>
        <v>10</v>
      </c>
      <c r="L13" s="115" t="s">
        <v>175</v>
      </c>
      <c r="M13" s="45"/>
      <c r="N13" s="46"/>
      <c r="O13" s="41"/>
    </row>
    <row r="14" spans="1:15" x14ac:dyDescent="0.3">
      <c r="A14" s="82" t="s">
        <v>34</v>
      </c>
      <c r="B14" s="83"/>
      <c r="C14" s="83"/>
      <c r="D14" s="83"/>
      <c r="E14" s="84" t="s">
        <v>106</v>
      </c>
      <c r="F14" s="84"/>
      <c r="G14" s="85"/>
      <c r="H14" s="86"/>
      <c r="I14" s="87"/>
      <c r="J14" s="87"/>
      <c r="K14" s="88">
        <f>(SUM(K2:K13)/(COUNT(K2:K13)*10)*40)</f>
        <v>40</v>
      </c>
      <c r="L14" s="116"/>
      <c r="M14" s="47"/>
      <c r="N14" s="48"/>
      <c r="O14" s="49"/>
    </row>
    <row r="15" spans="1:15" ht="52.8" x14ac:dyDescent="0.3">
      <c r="A15" s="72">
        <v>13</v>
      </c>
      <c r="B15" s="73" t="s">
        <v>107</v>
      </c>
      <c r="C15" s="74" t="s">
        <v>108</v>
      </c>
      <c r="D15" s="74" t="s">
        <v>73</v>
      </c>
      <c r="E15" s="78" t="s">
        <v>109</v>
      </c>
      <c r="F15" s="78" t="s">
        <v>109</v>
      </c>
      <c r="G15" s="89"/>
      <c r="H15" s="75" t="s">
        <v>110</v>
      </c>
      <c r="I15" s="76" t="s">
        <v>69</v>
      </c>
      <c r="J15" s="76" t="s">
        <v>70</v>
      </c>
      <c r="K15" s="76">
        <f>IF(I15="NA","NA",IF(I15="Yes",10,-5))</f>
        <v>10</v>
      </c>
      <c r="L15" s="115" t="s">
        <v>176</v>
      </c>
      <c r="M15" s="43"/>
      <c r="N15" s="44"/>
      <c r="O15" s="41"/>
    </row>
    <row r="16" spans="1:15" ht="52.8" x14ac:dyDescent="0.3">
      <c r="A16" s="72">
        <v>14</v>
      </c>
      <c r="B16" s="73" t="s">
        <v>107</v>
      </c>
      <c r="C16" s="74" t="s">
        <v>108</v>
      </c>
      <c r="D16" s="74" t="s">
        <v>64</v>
      </c>
      <c r="E16" s="78" t="s">
        <v>111</v>
      </c>
      <c r="F16" s="78" t="s">
        <v>111</v>
      </c>
      <c r="G16" s="81"/>
      <c r="H16" s="90" t="s">
        <v>112</v>
      </c>
      <c r="I16" s="76" t="s">
        <v>69</v>
      </c>
      <c r="J16" s="76" t="s">
        <v>70</v>
      </c>
      <c r="K16" s="76">
        <f>IF(I16="NA","NA",IF(I16="Yes",10,IF(J16=1,-5,-10)))</f>
        <v>10</v>
      </c>
      <c r="L16" s="115" t="s">
        <v>176</v>
      </c>
      <c r="M16" s="45"/>
      <c r="N16" s="46"/>
      <c r="O16" s="41"/>
    </row>
    <row r="17" spans="1:15" s="53" customFormat="1" ht="198" x14ac:dyDescent="0.3">
      <c r="A17" s="72">
        <v>15</v>
      </c>
      <c r="B17" s="73" t="s">
        <v>107</v>
      </c>
      <c r="C17" s="74" t="s">
        <v>113</v>
      </c>
      <c r="D17" s="74" t="s">
        <v>64</v>
      </c>
      <c r="E17" s="91" t="s">
        <v>114</v>
      </c>
      <c r="F17" s="91" t="s">
        <v>183</v>
      </c>
      <c r="G17" s="92" t="s">
        <v>115</v>
      </c>
      <c r="H17" s="74" t="s">
        <v>116</v>
      </c>
      <c r="I17" s="76" t="s">
        <v>69</v>
      </c>
      <c r="J17" s="76" t="s">
        <v>70</v>
      </c>
      <c r="K17" s="76">
        <f t="shared" ref="K17:K25" si="1">IF(I17="NA","NA",IF(I17="Yes",10,IF(J17=1,8,IF(J17=2,6,IF(J17=3,4,IF(J17=4,2,0))))))</f>
        <v>10</v>
      </c>
      <c r="L17" s="115" t="s">
        <v>175</v>
      </c>
      <c r="M17" s="51"/>
      <c r="N17" s="52"/>
      <c r="O17" s="36"/>
    </row>
    <row r="18" spans="1:15" s="53" customFormat="1" ht="198" x14ac:dyDescent="0.3">
      <c r="A18" s="72">
        <v>16</v>
      </c>
      <c r="B18" s="73" t="s">
        <v>107</v>
      </c>
      <c r="C18" s="74" t="s">
        <v>113</v>
      </c>
      <c r="D18" s="74" t="s">
        <v>64</v>
      </c>
      <c r="E18" s="91" t="s">
        <v>114</v>
      </c>
      <c r="F18" s="91" t="s">
        <v>184</v>
      </c>
      <c r="G18" s="92" t="s">
        <v>115</v>
      </c>
      <c r="H18" s="74" t="s">
        <v>116</v>
      </c>
      <c r="I18" s="76" t="s">
        <v>69</v>
      </c>
      <c r="J18" s="76" t="s">
        <v>70</v>
      </c>
      <c r="K18" s="76">
        <f t="shared" si="1"/>
        <v>10</v>
      </c>
      <c r="L18" s="117" t="s">
        <v>175</v>
      </c>
      <c r="M18" s="51"/>
      <c r="N18" s="52"/>
      <c r="O18" s="36"/>
    </row>
    <row r="19" spans="1:15" s="53" customFormat="1" ht="198" x14ac:dyDescent="0.3">
      <c r="A19" s="72">
        <v>17</v>
      </c>
      <c r="B19" s="73" t="s">
        <v>107</v>
      </c>
      <c r="C19" s="74" t="s">
        <v>113</v>
      </c>
      <c r="D19" s="74" t="s">
        <v>64</v>
      </c>
      <c r="E19" s="91" t="s">
        <v>114</v>
      </c>
      <c r="F19" s="91" t="s">
        <v>185</v>
      </c>
      <c r="G19" s="92" t="s">
        <v>115</v>
      </c>
      <c r="H19" s="74" t="s">
        <v>116</v>
      </c>
      <c r="I19" s="76" t="s">
        <v>69</v>
      </c>
      <c r="J19" s="76" t="s">
        <v>70</v>
      </c>
      <c r="K19" s="76">
        <f t="shared" si="1"/>
        <v>10</v>
      </c>
      <c r="L19" s="117" t="s">
        <v>175</v>
      </c>
      <c r="M19" s="51"/>
      <c r="N19" s="52"/>
      <c r="O19" s="36"/>
    </row>
    <row r="20" spans="1:15" s="53" customFormat="1" ht="198" x14ac:dyDescent="0.3">
      <c r="A20" s="72">
        <v>18</v>
      </c>
      <c r="B20" s="73" t="s">
        <v>107</v>
      </c>
      <c r="C20" s="74" t="s">
        <v>113</v>
      </c>
      <c r="D20" s="74" t="s">
        <v>64</v>
      </c>
      <c r="E20" s="91" t="s">
        <v>114</v>
      </c>
      <c r="F20" s="91" t="s">
        <v>186</v>
      </c>
      <c r="G20" s="92" t="s">
        <v>115</v>
      </c>
      <c r="H20" s="74" t="s">
        <v>116</v>
      </c>
      <c r="I20" s="76" t="s">
        <v>69</v>
      </c>
      <c r="J20" s="76" t="s">
        <v>70</v>
      </c>
      <c r="K20" s="76">
        <f t="shared" si="1"/>
        <v>10</v>
      </c>
      <c r="L20" s="117" t="s">
        <v>175</v>
      </c>
      <c r="M20" s="51"/>
      <c r="N20" s="52"/>
      <c r="O20" s="36"/>
    </row>
    <row r="21" spans="1:15" s="53" customFormat="1" ht="198" x14ac:dyDescent="0.3">
      <c r="A21" s="72">
        <v>19</v>
      </c>
      <c r="B21" s="73" t="s">
        <v>107</v>
      </c>
      <c r="C21" s="74" t="s">
        <v>113</v>
      </c>
      <c r="D21" s="74" t="s">
        <v>64</v>
      </c>
      <c r="E21" s="91" t="s">
        <v>114</v>
      </c>
      <c r="F21" s="91" t="s">
        <v>187</v>
      </c>
      <c r="G21" s="92" t="s">
        <v>115</v>
      </c>
      <c r="H21" s="74" t="s">
        <v>116</v>
      </c>
      <c r="I21" s="76" t="s">
        <v>69</v>
      </c>
      <c r="J21" s="76" t="s">
        <v>70</v>
      </c>
      <c r="K21" s="76">
        <f t="shared" si="1"/>
        <v>10</v>
      </c>
      <c r="L21" s="115" t="s">
        <v>175</v>
      </c>
      <c r="M21" s="51"/>
      <c r="N21" s="52"/>
      <c r="O21" s="36"/>
    </row>
    <row r="22" spans="1:15" s="53" customFormat="1" ht="198" x14ac:dyDescent="0.3">
      <c r="A22" s="72">
        <v>20</v>
      </c>
      <c r="B22" s="73" t="s">
        <v>107</v>
      </c>
      <c r="C22" s="74" t="s">
        <v>113</v>
      </c>
      <c r="D22" s="74" t="s">
        <v>64</v>
      </c>
      <c r="E22" s="91" t="s">
        <v>114</v>
      </c>
      <c r="F22" s="91" t="s">
        <v>188</v>
      </c>
      <c r="G22" s="92" t="s">
        <v>115</v>
      </c>
      <c r="H22" s="74" t="s">
        <v>116</v>
      </c>
      <c r="I22" s="76" t="s">
        <v>69</v>
      </c>
      <c r="J22" s="76" t="s">
        <v>70</v>
      </c>
      <c r="K22" s="76">
        <f t="shared" si="1"/>
        <v>10</v>
      </c>
      <c r="L22" s="117" t="s">
        <v>175</v>
      </c>
      <c r="M22" s="51"/>
      <c r="N22" s="52"/>
      <c r="O22" s="36"/>
    </row>
    <row r="23" spans="1:15" s="53" customFormat="1" ht="198" x14ac:dyDescent="0.3">
      <c r="A23" s="72">
        <v>21</v>
      </c>
      <c r="B23" s="73" t="s">
        <v>107</v>
      </c>
      <c r="C23" s="74" t="s">
        <v>113</v>
      </c>
      <c r="D23" s="74" t="s">
        <v>64</v>
      </c>
      <c r="E23" s="91" t="s">
        <v>114</v>
      </c>
      <c r="F23" s="91" t="s">
        <v>189</v>
      </c>
      <c r="G23" s="92" t="s">
        <v>115</v>
      </c>
      <c r="H23" s="74" t="s">
        <v>116</v>
      </c>
      <c r="I23" s="76" t="s">
        <v>69</v>
      </c>
      <c r="J23" s="76" t="s">
        <v>70</v>
      </c>
      <c r="K23" s="76">
        <f t="shared" si="1"/>
        <v>10</v>
      </c>
      <c r="L23" s="117" t="s">
        <v>175</v>
      </c>
      <c r="M23" s="51"/>
      <c r="N23" s="52"/>
      <c r="O23" s="36"/>
    </row>
    <row r="24" spans="1:15" s="53" customFormat="1" ht="198" x14ac:dyDescent="0.3">
      <c r="A24" s="72">
        <v>22</v>
      </c>
      <c r="B24" s="73" t="s">
        <v>107</v>
      </c>
      <c r="C24" s="74" t="s">
        <v>113</v>
      </c>
      <c r="D24" s="74" t="s">
        <v>64</v>
      </c>
      <c r="E24" s="91" t="s">
        <v>114</v>
      </c>
      <c r="F24" s="91" t="s">
        <v>190</v>
      </c>
      <c r="G24" s="92" t="s">
        <v>115</v>
      </c>
      <c r="H24" s="74" t="s">
        <v>116</v>
      </c>
      <c r="I24" s="76" t="s">
        <v>69</v>
      </c>
      <c r="J24" s="76" t="s">
        <v>70</v>
      </c>
      <c r="K24" s="76">
        <f t="shared" si="1"/>
        <v>10</v>
      </c>
      <c r="L24" s="117" t="s">
        <v>175</v>
      </c>
      <c r="M24" s="51"/>
      <c r="N24" s="52"/>
      <c r="O24" s="36"/>
    </row>
    <row r="25" spans="1:15" s="53" customFormat="1" ht="39.6" x14ac:dyDescent="0.3">
      <c r="A25" s="72">
        <v>23</v>
      </c>
      <c r="B25" s="73" t="s">
        <v>107</v>
      </c>
      <c r="C25" s="74" t="s">
        <v>113</v>
      </c>
      <c r="D25" s="74" t="s">
        <v>73</v>
      </c>
      <c r="E25" s="91" t="s">
        <v>117</v>
      </c>
      <c r="F25" s="91" t="s">
        <v>117</v>
      </c>
      <c r="G25" s="92"/>
      <c r="H25" s="74" t="s">
        <v>116</v>
      </c>
      <c r="I25" s="93" t="s">
        <v>69</v>
      </c>
      <c r="J25" s="94" t="s">
        <v>70</v>
      </c>
      <c r="K25" s="95">
        <f t="shared" si="1"/>
        <v>10</v>
      </c>
      <c r="L25" s="117" t="s">
        <v>177</v>
      </c>
      <c r="M25" s="38"/>
      <c r="N25" s="54"/>
      <c r="O25" s="36"/>
    </row>
    <row r="26" spans="1:15" ht="52.8" x14ac:dyDescent="0.3">
      <c r="A26" s="72">
        <v>24</v>
      </c>
      <c r="B26" s="73" t="s">
        <v>107</v>
      </c>
      <c r="C26" s="74" t="s">
        <v>118</v>
      </c>
      <c r="D26" s="74" t="s">
        <v>64</v>
      </c>
      <c r="E26" s="91" t="s">
        <v>119</v>
      </c>
      <c r="F26" s="91" t="s">
        <v>119</v>
      </c>
      <c r="G26" s="79"/>
      <c r="H26" s="75" t="s">
        <v>120</v>
      </c>
      <c r="I26" s="76" t="s">
        <v>69</v>
      </c>
      <c r="J26" s="94" t="s">
        <v>70</v>
      </c>
      <c r="K26" s="76">
        <f>IF(I26="NA","NA",IF(I26="Yes",10,IF(J26=1,5,0)))</f>
        <v>10</v>
      </c>
      <c r="L26" s="114" t="s">
        <v>178</v>
      </c>
      <c r="M26" s="50"/>
      <c r="N26" s="55"/>
      <c r="O26" s="41"/>
    </row>
    <row r="27" spans="1:15" ht="52.8" x14ac:dyDescent="0.3">
      <c r="A27" s="72">
        <v>25</v>
      </c>
      <c r="B27" s="73" t="s">
        <v>107</v>
      </c>
      <c r="C27" s="74" t="s">
        <v>121</v>
      </c>
      <c r="D27" s="74" t="s">
        <v>64</v>
      </c>
      <c r="E27" s="78" t="s">
        <v>122</v>
      </c>
      <c r="F27" s="78" t="s">
        <v>122</v>
      </c>
      <c r="G27" s="79"/>
      <c r="H27" s="75" t="s">
        <v>94</v>
      </c>
      <c r="I27" s="76" t="s">
        <v>70</v>
      </c>
      <c r="J27" s="76" t="s">
        <v>70</v>
      </c>
      <c r="K27" s="76" t="str">
        <f>IF(I27="NA","NA",IF(I27="Yes",10,0))</f>
        <v>NA</v>
      </c>
      <c r="L27" s="114" t="s">
        <v>179</v>
      </c>
      <c r="M27" s="50"/>
      <c r="N27" s="55"/>
      <c r="O27" s="41"/>
    </row>
    <row r="28" spans="1:15" ht="39.6" x14ac:dyDescent="0.3">
      <c r="A28" s="72">
        <v>26</v>
      </c>
      <c r="B28" s="73" t="s">
        <v>107</v>
      </c>
      <c r="C28" s="74" t="s">
        <v>121</v>
      </c>
      <c r="D28" s="74" t="s">
        <v>64</v>
      </c>
      <c r="E28" s="78" t="s">
        <v>123</v>
      </c>
      <c r="F28" s="78" t="s">
        <v>123</v>
      </c>
      <c r="G28" s="79"/>
      <c r="H28" s="75" t="s">
        <v>94</v>
      </c>
      <c r="I28" s="76" t="s">
        <v>70</v>
      </c>
      <c r="J28" s="76" t="s">
        <v>70</v>
      </c>
      <c r="K28" s="76" t="str">
        <f>IF(I28="NA","NA",IF(I28="Yes",10,0))</f>
        <v>NA</v>
      </c>
      <c r="L28" s="114" t="s">
        <v>179</v>
      </c>
      <c r="M28" s="50"/>
      <c r="N28" s="55"/>
      <c r="O28" s="41"/>
    </row>
    <row r="29" spans="1:15" ht="26.4" x14ac:dyDescent="0.3">
      <c r="A29" s="72">
        <v>27</v>
      </c>
      <c r="B29" s="73" t="s">
        <v>107</v>
      </c>
      <c r="C29" s="74" t="s">
        <v>121</v>
      </c>
      <c r="D29" s="74" t="s">
        <v>64</v>
      </c>
      <c r="E29" s="78" t="s">
        <v>124</v>
      </c>
      <c r="F29" s="78" t="s">
        <v>124</v>
      </c>
      <c r="G29" s="79"/>
      <c r="H29" s="75" t="s">
        <v>94</v>
      </c>
      <c r="I29" s="76" t="s">
        <v>70</v>
      </c>
      <c r="J29" s="76" t="s">
        <v>70</v>
      </c>
      <c r="K29" s="76" t="str">
        <f>IF(I29="NA","NA",IF(I29="Yes",10,0))</f>
        <v>NA</v>
      </c>
      <c r="L29" s="114" t="s">
        <v>179</v>
      </c>
      <c r="M29" s="50"/>
      <c r="N29" s="55"/>
      <c r="O29" s="41"/>
    </row>
    <row r="30" spans="1:15" x14ac:dyDescent="0.3">
      <c r="A30" s="82" t="s">
        <v>40</v>
      </c>
      <c r="B30" s="83"/>
      <c r="C30" s="83"/>
      <c r="D30" s="83"/>
      <c r="E30" s="84" t="s">
        <v>106</v>
      </c>
      <c r="F30" s="84"/>
      <c r="G30" s="85"/>
      <c r="H30" s="86"/>
      <c r="I30" s="87"/>
      <c r="J30" s="87"/>
      <c r="K30" s="88">
        <f>(SUM(K15:K29)/(COUNT(K15:K29)*10)*50)</f>
        <v>50</v>
      </c>
      <c r="L30" s="116"/>
      <c r="M30" s="47"/>
      <c r="N30" s="48"/>
      <c r="O30" s="49"/>
    </row>
    <row r="31" spans="1:15" ht="92.4" x14ac:dyDescent="0.3">
      <c r="A31" s="72">
        <v>28</v>
      </c>
      <c r="B31" s="73" t="s">
        <v>25</v>
      </c>
      <c r="C31" s="74" t="s">
        <v>125</v>
      </c>
      <c r="D31" s="74" t="s">
        <v>73</v>
      </c>
      <c r="E31" s="91" t="s">
        <v>126</v>
      </c>
      <c r="F31" s="91" t="s">
        <v>191</v>
      </c>
      <c r="G31" s="96" t="s">
        <v>127</v>
      </c>
      <c r="H31" s="75" t="s">
        <v>120</v>
      </c>
      <c r="I31" s="76" t="s">
        <v>69</v>
      </c>
      <c r="J31" s="94" t="s">
        <v>70</v>
      </c>
      <c r="K31" s="76">
        <f>IF(I31="NA","NA",IF(I31="Yes",10,IF(J31=1,5,0)))</f>
        <v>10</v>
      </c>
      <c r="L31" s="114" t="s">
        <v>178</v>
      </c>
      <c r="M31" s="38"/>
      <c r="N31" s="54"/>
      <c r="O31" s="41"/>
    </row>
    <row r="32" spans="1:15" ht="92.4" x14ac:dyDescent="0.3">
      <c r="A32" s="72">
        <v>29</v>
      </c>
      <c r="B32" s="73" t="s">
        <v>25</v>
      </c>
      <c r="C32" s="74" t="s">
        <v>125</v>
      </c>
      <c r="D32" s="74" t="s">
        <v>73</v>
      </c>
      <c r="E32" s="91" t="s">
        <v>126</v>
      </c>
      <c r="F32" s="91" t="s">
        <v>192</v>
      </c>
      <c r="G32" s="96" t="s">
        <v>127</v>
      </c>
      <c r="H32" s="75" t="s">
        <v>120</v>
      </c>
      <c r="I32" s="76" t="s">
        <v>69</v>
      </c>
      <c r="J32" s="94" t="s">
        <v>70</v>
      </c>
      <c r="K32" s="76">
        <f>IF(I32="NA","NA",IF(I32="Yes",10,IF(J32=1,5,0)))</f>
        <v>10</v>
      </c>
      <c r="L32" s="114" t="s">
        <v>178</v>
      </c>
      <c r="M32" s="38"/>
      <c r="N32" s="54"/>
      <c r="O32" s="41"/>
    </row>
    <row r="33" spans="1:15" ht="79.2" x14ac:dyDescent="0.3">
      <c r="A33" s="72">
        <v>30</v>
      </c>
      <c r="B33" s="73" t="s">
        <v>25</v>
      </c>
      <c r="C33" s="74" t="s">
        <v>128</v>
      </c>
      <c r="D33" s="74" t="s">
        <v>96</v>
      </c>
      <c r="E33" s="97" t="s">
        <v>129</v>
      </c>
      <c r="F33" s="97" t="s">
        <v>129</v>
      </c>
      <c r="G33" s="79"/>
      <c r="H33" s="75" t="s">
        <v>89</v>
      </c>
      <c r="I33" s="76" t="s">
        <v>69</v>
      </c>
      <c r="J33" s="76" t="s">
        <v>70</v>
      </c>
      <c r="K33" s="76">
        <f t="shared" ref="K33:K38" si="2">IF(I33="NA","NA",IF(I33="Yes",10,0))</f>
        <v>10</v>
      </c>
      <c r="L33" s="114" t="s">
        <v>176</v>
      </c>
      <c r="M33" s="50"/>
      <c r="N33" s="55"/>
      <c r="O33" s="41"/>
    </row>
    <row r="34" spans="1:15" ht="79.2" x14ac:dyDescent="0.3">
      <c r="A34" s="72">
        <v>31</v>
      </c>
      <c r="B34" s="73" t="s">
        <v>25</v>
      </c>
      <c r="C34" s="56" t="s">
        <v>130</v>
      </c>
      <c r="D34" s="56" t="s">
        <v>73</v>
      </c>
      <c r="E34" s="98" t="s">
        <v>131</v>
      </c>
      <c r="F34" s="98" t="s">
        <v>131</v>
      </c>
      <c r="G34" s="99" t="s">
        <v>132</v>
      </c>
      <c r="H34" s="100" t="s">
        <v>94</v>
      </c>
      <c r="I34" s="101" t="s">
        <v>70</v>
      </c>
      <c r="J34" s="102" t="s">
        <v>70</v>
      </c>
      <c r="K34" s="101" t="str">
        <f>IF(I34="NA","NA",IF(I34="yes",10,0))</f>
        <v>NA</v>
      </c>
      <c r="L34" s="56" t="s">
        <v>179</v>
      </c>
      <c r="M34" s="57"/>
      <c r="N34" s="58"/>
      <c r="O34" s="41"/>
    </row>
    <row r="35" spans="1:15" ht="52.8" x14ac:dyDescent="0.3">
      <c r="A35" s="72">
        <v>32</v>
      </c>
      <c r="B35" s="73" t="s">
        <v>25</v>
      </c>
      <c r="C35" s="98" t="s">
        <v>133</v>
      </c>
      <c r="D35" s="98" t="s">
        <v>73</v>
      </c>
      <c r="E35" s="56" t="s">
        <v>134</v>
      </c>
      <c r="F35" s="56" t="s">
        <v>134</v>
      </c>
      <c r="G35" s="98" t="s">
        <v>135</v>
      </c>
      <c r="H35" s="100" t="s">
        <v>94</v>
      </c>
      <c r="I35" s="101" t="s">
        <v>70</v>
      </c>
      <c r="J35" s="102" t="s">
        <v>70</v>
      </c>
      <c r="K35" s="101" t="str">
        <f t="shared" ref="K35" si="3">IF(I35="NA","NA",IF(I35="Yes",10,0))</f>
        <v>NA</v>
      </c>
      <c r="L35" s="56" t="s">
        <v>179</v>
      </c>
      <c r="M35" s="57"/>
      <c r="N35" s="58"/>
      <c r="O35" s="41"/>
    </row>
    <row r="36" spans="1:15" ht="39.6" x14ac:dyDescent="0.3">
      <c r="A36" s="72">
        <v>33</v>
      </c>
      <c r="B36" s="73" t="s">
        <v>25</v>
      </c>
      <c r="C36" s="59" t="s">
        <v>136</v>
      </c>
      <c r="D36" s="59" t="s">
        <v>73</v>
      </c>
      <c r="E36" s="103" t="s">
        <v>137</v>
      </c>
      <c r="F36" s="59" t="s">
        <v>137</v>
      </c>
      <c r="G36" s="98"/>
      <c r="H36" s="104" t="s">
        <v>138</v>
      </c>
      <c r="I36" s="105" t="s">
        <v>69</v>
      </c>
      <c r="J36" s="102" t="s">
        <v>70</v>
      </c>
      <c r="K36" s="106">
        <f>IF(I36="NA","NA",IF(I36="Critical",-10,IF(I36="Yes",10,IF(J36=1,-2,IF(J36=2,-4,IF(J36=3,-6,IF(J36=4,-8,-10)))))))</f>
        <v>10</v>
      </c>
      <c r="L36" s="79" t="s">
        <v>180</v>
      </c>
      <c r="M36" s="57"/>
      <c r="N36" s="58"/>
      <c r="O36" s="41"/>
    </row>
    <row r="37" spans="1:15" ht="26.4" x14ac:dyDescent="0.3">
      <c r="A37" s="72">
        <v>34</v>
      </c>
      <c r="B37" s="73" t="s">
        <v>25</v>
      </c>
      <c r="C37" s="74" t="s">
        <v>139</v>
      </c>
      <c r="D37" s="74" t="s">
        <v>96</v>
      </c>
      <c r="E37" s="78" t="s">
        <v>140</v>
      </c>
      <c r="F37" s="78" t="s">
        <v>140</v>
      </c>
      <c r="G37" s="79"/>
      <c r="H37" s="75" t="s">
        <v>89</v>
      </c>
      <c r="I37" s="76" t="s">
        <v>69</v>
      </c>
      <c r="J37" s="76" t="s">
        <v>70</v>
      </c>
      <c r="K37" s="76">
        <f t="shared" si="2"/>
        <v>10</v>
      </c>
      <c r="L37" s="56" t="s">
        <v>181</v>
      </c>
      <c r="M37" s="50"/>
      <c r="N37" s="55"/>
      <c r="O37" s="41"/>
    </row>
    <row r="38" spans="1:15" ht="26.4" x14ac:dyDescent="0.3">
      <c r="A38" s="72">
        <v>35</v>
      </c>
      <c r="B38" s="73" t="s">
        <v>25</v>
      </c>
      <c r="C38" s="74" t="s">
        <v>141</v>
      </c>
      <c r="D38" s="74"/>
      <c r="E38" s="74" t="s">
        <v>142</v>
      </c>
      <c r="F38" s="74" t="s">
        <v>142</v>
      </c>
      <c r="G38" s="79"/>
      <c r="H38" s="79"/>
      <c r="I38" s="107" t="s">
        <v>70</v>
      </c>
      <c r="J38" s="107" t="s">
        <v>70</v>
      </c>
      <c r="K38" s="107" t="str">
        <f t="shared" si="2"/>
        <v>NA</v>
      </c>
      <c r="L38" s="98" t="s">
        <v>182</v>
      </c>
      <c r="M38" s="45"/>
      <c r="N38" s="46"/>
      <c r="O38" s="41"/>
    </row>
    <row r="39" spans="1:15" ht="14.4" thickBot="1" x14ac:dyDescent="0.35">
      <c r="A39" s="108" t="s">
        <v>46</v>
      </c>
      <c r="B39" s="109"/>
      <c r="C39" s="109"/>
      <c r="D39" s="109"/>
      <c r="E39" s="110" t="s">
        <v>106</v>
      </c>
      <c r="F39" s="110"/>
      <c r="G39" s="111"/>
      <c r="H39" s="111"/>
      <c r="I39" s="112"/>
      <c r="J39" s="113"/>
      <c r="K39" s="113">
        <f>(SUM(K32:K38)/(COUNT(K32:K38)*10)*10)</f>
        <v>10</v>
      </c>
      <c r="L39" s="60"/>
      <c r="M39" s="60"/>
      <c r="N39" s="61"/>
      <c r="O39" s="62"/>
    </row>
  </sheetData>
  <dataValidations count="6">
    <dataValidation type="list" operator="equal" showInputMessage="1" showErrorMessage="1" errorTitle="Invaild Entry." prompt="Pls select from drop down menu only." sqref="I36" xr:uid="{9D761A12-B768-4CC6-88CB-D65B56A91444}">
      <formula1>"Yes,No,Critical,NA"</formula1>
      <formula2>0</formula2>
    </dataValidation>
    <dataValidation type="list" operator="equal" showInputMessage="1" showErrorMessage="1" errorTitle="Invaild Entry." prompt="Pls select from drop down menu only." sqref="I25" xr:uid="{98870A38-DB54-4248-A845-9318C6377597}">
      <formula1>"Yes,No,NA"</formula1>
      <formula2>0</formula2>
    </dataValidation>
    <dataValidation type="list" allowBlank="1" showInputMessage="1" showErrorMessage="1" sqref="J27:J30 J37 J33 J2:J24" xr:uid="{F35ADD23-942F-4AA8-A1F8-9C497683FF67}">
      <formula1>"1,2,3,4,&gt;4,NA"</formula1>
    </dataValidation>
    <dataValidation type="list" allowBlank="1" showInputMessage="1" showErrorMessage="1" sqref="I37 I2:I24 I26:I33" xr:uid="{F4E8D3F1-33D6-487F-B779-A60862C65050}">
      <formula1>"Yes,No,NA"</formula1>
    </dataValidation>
    <dataValidation type="list" operator="equal" showInputMessage="1" showErrorMessage="1" error="Invalid Entry" prompt="Please select from the drop down menu only." sqref="I34:I35" xr:uid="{DDB93108-7F28-48CF-8D5E-6D5C4A974B70}">
      <formula1>"Yes,No,NA"</formula1>
    </dataValidation>
    <dataValidation type="list" operator="equal" showInputMessage="1" showErrorMessage="1" error="Invalid Entry." prompt="Pls select from drop down menu only." sqref="J25:J26 J31:J32 J34:J36" xr:uid="{B6591F5E-E06A-4D63-A136-0A2953658390}">
      <formula1>"1,2,3,4,&gt;4,NA"</formula1>
      <formula2>0</formula2>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295FC-D9D2-4862-A609-115D624403EA}">
  <sheetPr codeName="Sheet3"/>
  <dimension ref="A1:T225"/>
  <sheetViews>
    <sheetView workbookViewId="0"/>
  </sheetViews>
  <sheetFormatPr defaultColWidth="9.109375" defaultRowHeight="13.8" x14ac:dyDescent="0.3"/>
  <cols>
    <col min="1" max="1" width="17.88671875" style="1" bestFit="1" customWidth="1"/>
    <col min="2" max="2" width="25" style="1" bestFit="1" customWidth="1"/>
    <col min="3" max="3" width="10" style="1" bestFit="1" customWidth="1"/>
    <col min="4" max="4" width="9.88671875" style="1" bestFit="1" customWidth="1"/>
    <col min="5" max="5" width="12.88671875" style="1" bestFit="1" customWidth="1"/>
    <col min="6" max="7" width="30.6640625" style="1" customWidth="1"/>
    <col min="8" max="8" width="12.109375" style="1" bestFit="1" customWidth="1"/>
    <col min="9" max="9" width="11.5546875" style="1" bestFit="1" customWidth="1"/>
    <col min="10" max="10" width="17" style="1" bestFit="1" customWidth="1"/>
    <col min="11" max="11" width="20.88671875" style="1" bestFit="1" customWidth="1"/>
    <col min="12" max="12" width="19.6640625" style="1" bestFit="1" customWidth="1"/>
    <col min="13" max="13" width="18.88671875" style="1" bestFit="1" customWidth="1"/>
    <col min="14" max="14" width="20.88671875" style="1" bestFit="1" customWidth="1"/>
    <col min="15" max="15" width="21.88671875" style="1" bestFit="1" customWidth="1"/>
    <col min="16" max="16" width="25.109375" style="1" bestFit="1" customWidth="1"/>
    <col min="17" max="17" width="24.44140625" style="1" bestFit="1" customWidth="1"/>
    <col min="18" max="18" width="20.88671875" style="1" bestFit="1" customWidth="1"/>
    <col min="19" max="19" width="23.44140625" style="1" bestFit="1" customWidth="1"/>
    <col min="20" max="16384" width="9.109375" style="1"/>
  </cols>
  <sheetData>
    <row r="1" spans="1:20" ht="14.4" thickBot="1" x14ac:dyDescent="0.35">
      <c r="A1" s="120" t="s">
        <v>198</v>
      </c>
      <c r="B1" s="65" t="s">
        <v>143</v>
      </c>
      <c r="C1" s="65" t="s">
        <v>50</v>
      </c>
      <c r="D1" s="65" t="s">
        <v>144</v>
      </c>
      <c r="E1" s="65" t="s">
        <v>145</v>
      </c>
      <c r="F1" s="65" t="s">
        <v>146</v>
      </c>
      <c r="G1" s="65" t="s">
        <v>147</v>
      </c>
      <c r="H1" s="65" t="s">
        <v>148</v>
      </c>
      <c r="I1" s="65" t="s">
        <v>149</v>
      </c>
      <c r="J1" s="65" t="s">
        <v>150</v>
      </c>
      <c r="K1" s="65" t="s">
        <v>58</v>
      </c>
      <c r="L1" s="65" t="s">
        <v>151</v>
      </c>
      <c r="M1" s="65" t="s">
        <v>152</v>
      </c>
      <c r="N1" s="65" t="s">
        <v>153</v>
      </c>
      <c r="O1" s="65" t="s">
        <v>154</v>
      </c>
      <c r="P1" s="65" t="s">
        <v>155</v>
      </c>
      <c r="Q1" s="65" t="s">
        <v>156</v>
      </c>
      <c r="R1" s="65" t="s">
        <v>157</v>
      </c>
      <c r="S1" s="65" t="s">
        <v>158</v>
      </c>
      <c r="T1" s="65" t="s">
        <v>159</v>
      </c>
    </row>
    <row r="2" spans="1:20" x14ac:dyDescent="0.3">
      <c r="A2" s="121"/>
      <c r="B2" s="121"/>
      <c r="C2" s="121"/>
      <c r="D2" s="121"/>
      <c r="E2" s="121"/>
      <c r="F2" s="121"/>
      <c r="G2" s="121"/>
      <c r="H2" s="121"/>
      <c r="I2" s="121"/>
      <c r="J2" s="121"/>
      <c r="K2" s="121"/>
      <c r="L2" s="121"/>
      <c r="M2" s="121"/>
      <c r="N2" s="121"/>
      <c r="O2" s="121"/>
      <c r="P2" s="121"/>
      <c r="Q2" s="121"/>
      <c r="R2" s="121"/>
      <c r="S2" s="121"/>
      <c r="T2" s="121"/>
    </row>
    <row r="3" spans="1:20" x14ac:dyDescent="0.3">
      <c r="A3" s="121"/>
      <c r="B3" s="121"/>
      <c r="C3" s="121"/>
      <c r="D3" s="121"/>
      <c r="E3" s="121"/>
      <c r="F3" s="121"/>
      <c r="G3" s="121"/>
      <c r="H3" s="121"/>
      <c r="I3" s="121"/>
      <c r="J3" s="121"/>
      <c r="K3" s="121"/>
      <c r="L3" s="121"/>
      <c r="M3" s="121"/>
      <c r="N3" s="121"/>
      <c r="O3" s="121"/>
      <c r="P3" s="121"/>
      <c r="Q3" s="121"/>
      <c r="R3" s="121"/>
      <c r="S3" s="121"/>
      <c r="T3" s="121"/>
    </row>
    <row r="4" spans="1:20" x14ac:dyDescent="0.3">
      <c r="A4" s="121"/>
      <c r="B4" s="121"/>
      <c r="C4" s="121"/>
      <c r="D4" s="121"/>
      <c r="E4" s="121"/>
      <c r="F4" s="121"/>
      <c r="G4" s="121"/>
      <c r="H4" s="121"/>
      <c r="I4" s="121"/>
      <c r="J4" s="121"/>
      <c r="K4" s="121"/>
      <c r="L4" s="121"/>
      <c r="M4" s="121"/>
      <c r="N4" s="121"/>
      <c r="O4" s="121"/>
      <c r="P4" s="121"/>
      <c r="Q4" s="121"/>
      <c r="R4" s="121"/>
      <c r="S4" s="121"/>
      <c r="T4" s="121"/>
    </row>
    <row r="5" spans="1:20" x14ac:dyDescent="0.3">
      <c r="A5" s="121"/>
      <c r="B5" s="121"/>
      <c r="C5" s="121"/>
      <c r="D5" s="121"/>
      <c r="E5" s="121"/>
      <c r="F5" s="121"/>
      <c r="G5" s="121"/>
      <c r="H5" s="121"/>
      <c r="I5" s="121"/>
      <c r="J5" s="121"/>
      <c r="K5" s="121"/>
      <c r="L5" s="121"/>
      <c r="M5" s="121"/>
      <c r="N5" s="121"/>
      <c r="O5" s="121"/>
      <c r="P5" s="121"/>
      <c r="Q5" s="121"/>
      <c r="R5" s="121"/>
      <c r="S5" s="121"/>
      <c r="T5" s="121"/>
    </row>
    <row r="6" spans="1:20" x14ac:dyDescent="0.3">
      <c r="A6" s="121"/>
      <c r="B6" s="121"/>
      <c r="C6" s="121"/>
      <c r="D6" s="121"/>
      <c r="E6" s="121"/>
      <c r="F6" s="121"/>
      <c r="G6" s="121"/>
      <c r="H6" s="121"/>
      <c r="I6" s="121"/>
      <c r="J6" s="121"/>
      <c r="K6" s="121"/>
      <c r="L6" s="121"/>
      <c r="M6" s="121"/>
      <c r="N6" s="121"/>
      <c r="O6" s="121"/>
      <c r="P6" s="121"/>
      <c r="Q6" s="121"/>
      <c r="R6" s="121"/>
      <c r="S6" s="121"/>
      <c r="T6" s="121"/>
    </row>
    <row r="7" spans="1:20" x14ac:dyDescent="0.3">
      <c r="A7" s="121"/>
      <c r="B7" s="121"/>
      <c r="C7" s="121"/>
      <c r="D7" s="121"/>
      <c r="E7" s="121"/>
      <c r="F7" s="121"/>
      <c r="G7" s="121"/>
      <c r="H7" s="121"/>
      <c r="I7" s="121"/>
      <c r="J7" s="121"/>
      <c r="K7" s="121"/>
      <c r="L7" s="121"/>
      <c r="M7" s="121"/>
      <c r="N7" s="121"/>
      <c r="O7" s="121"/>
      <c r="P7" s="121"/>
      <c r="Q7" s="121"/>
      <c r="R7" s="121"/>
      <c r="S7" s="121"/>
      <c r="T7" s="121"/>
    </row>
    <row r="8" spans="1:20" x14ac:dyDescent="0.3">
      <c r="A8" s="121"/>
      <c r="B8" s="121"/>
      <c r="C8" s="121"/>
      <c r="D8" s="121"/>
      <c r="E8" s="121"/>
      <c r="F8" s="121"/>
      <c r="G8" s="121"/>
      <c r="H8" s="121"/>
      <c r="I8" s="121"/>
      <c r="J8" s="121"/>
      <c r="K8" s="121"/>
      <c r="L8" s="121"/>
      <c r="M8" s="121"/>
      <c r="N8" s="121"/>
      <c r="O8" s="121"/>
      <c r="P8" s="121"/>
      <c r="Q8" s="121"/>
      <c r="R8" s="121"/>
      <c r="S8" s="121"/>
      <c r="T8" s="121"/>
    </row>
    <row r="9" spans="1:20" x14ac:dyDescent="0.3">
      <c r="A9" s="121"/>
      <c r="B9" s="121"/>
      <c r="C9" s="121"/>
      <c r="D9" s="121"/>
      <c r="E9" s="121"/>
      <c r="F9" s="121"/>
      <c r="G9" s="121"/>
      <c r="H9" s="121"/>
      <c r="I9" s="121"/>
      <c r="J9" s="121"/>
      <c r="K9" s="121"/>
      <c r="L9" s="121"/>
      <c r="M9" s="121"/>
      <c r="N9" s="121"/>
      <c r="O9" s="121"/>
      <c r="P9" s="121"/>
      <c r="Q9" s="121"/>
      <c r="R9" s="121"/>
      <c r="S9" s="121"/>
      <c r="T9" s="121"/>
    </row>
    <row r="10" spans="1:20" x14ac:dyDescent="0.3">
      <c r="A10" s="121"/>
      <c r="B10" s="121"/>
      <c r="C10" s="121"/>
      <c r="D10" s="121"/>
      <c r="E10" s="121"/>
      <c r="F10" s="121"/>
      <c r="G10" s="121"/>
      <c r="H10" s="121"/>
      <c r="I10" s="121"/>
      <c r="J10" s="121"/>
      <c r="K10" s="121"/>
      <c r="L10" s="121"/>
      <c r="M10" s="121"/>
      <c r="N10" s="121"/>
      <c r="O10" s="121"/>
      <c r="P10" s="121"/>
      <c r="Q10" s="121"/>
      <c r="R10" s="121"/>
      <c r="S10" s="121"/>
      <c r="T10" s="121"/>
    </row>
    <row r="11" spans="1:20" x14ac:dyDescent="0.3">
      <c r="A11" s="121"/>
      <c r="B11" s="121"/>
      <c r="C11" s="121"/>
      <c r="D11" s="121"/>
      <c r="E11" s="121"/>
      <c r="F11" s="121"/>
      <c r="G11" s="121"/>
      <c r="H11" s="121"/>
      <c r="I11" s="121"/>
      <c r="J11" s="121"/>
      <c r="K11" s="121"/>
      <c r="L11" s="121"/>
      <c r="M11" s="121"/>
      <c r="N11" s="121"/>
      <c r="O11" s="121"/>
      <c r="P11" s="121"/>
      <c r="Q11" s="121"/>
      <c r="R11" s="121"/>
      <c r="S11" s="121"/>
      <c r="T11" s="121"/>
    </row>
    <row r="12" spans="1:20" x14ac:dyDescent="0.3">
      <c r="A12" s="121"/>
      <c r="B12" s="121"/>
      <c r="C12" s="121"/>
      <c r="D12" s="121"/>
      <c r="E12" s="121"/>
      <c r="F12" s="121"/>
      <c r="G12" s="121"/>
      <c r="H12" s="121"/>
      <c r="I12" s="121"/>
      <c r="J12" s="121"/>
      <c r="K12" s="121"/>
      <c r="L12" s="121"/>
      <c r="M12" s="121"/>
      <c r="N12" s="121"/>
      <c r="O12" s="121"/>
      <c r="P12" s="121"/>
      <c r="Q12" s="121"/>
      <c r="R12" s="121"/>
      <c r="S12" s="121"/>
      <c r="T12" s="121"/>
    </row>
    <row r="13" spans="1:20" x14ac:dyDescent="0.3">
      <c r="A13" s="121"/>
      <c r="B13" s="121"/>
      <c r="C13" s="121"/>
      <c r="D13" s="121"/>
      <c r="E13" s="121"/>
      <c r="F13" s="121"/>
      <c r="G13" s="121"/>
      <c r="H13" s="121"/>
      <c r="I13" s="121"/>
      <c r="J13" s="121"/>
      <c r="K13" s="121"/>
      <c r="L13" s="121"/>
      <c r="M13" s="121"/>
      <c r="N13" s="121"/>
      <c r="O13" s="121"/>
      <c r="P13" s="121"/>
      <c r="Q13" s="121"/>
      <c r="R13" s="121"/>
      <c r="S13" s="121"/>
      <c r="T13" s="121"/>
    </row>
    <row r="14" spans="1:20" x14ac:dyDescent="0.3">
      <c r="A14" s="121"/>
      <c r="B14" s="121"/>
      <c r="C14" s="121"/>
      <c r="D14" s="121"/>
      <c r="E14" s="121"/>
      <c r="F14" s="121"/>
      <c r="G14" s="121"/>
      <c r="H14" s="121"/>
      <c r="I14" s="121"/>
      <c r="J14" s="121"/>
      <c r="K14" s="121"/>
      <c r="L14" s="121"/>
      <c r="M14" s="121"/>
      <c r="N14" s="121"/>
      <c r="O14" s="121"/>
      <c r="P14" s="121"/>
      <c r="Q14" s="121"/>
      <c r="R14" s="121"/>
      <c r="S14" s="121"/>
      <c r="T14" s="121"/>
    </row>
    <row r="15" spans="1:20" x14ac:dyDescent="0.3">
      <c r="A15" s="121"/>
      <c r="B15" s="121"/>
      <c r="C15" s="121"/>
      <c r="D15" s="121"/>
      <c r="E15" s="121"/>
      <c r="F15" s="121"/>
      <c r="G15" s="121"/>
      <c r="H15" s="121"/>
      <c r="I15" s="121"/>
      <c r="J15" s="121"/>
      <c r="K15" s="121"/>
      <c r="L15" s="121"/>
      <c r="M15" s="121"/>
      <c r="N15" s="121"/>
      <c r="O15" s="121"/>
      <c r="P15" s="121"/>
      <c r="Q15" s="121"/>
      <c r="R15" s="121"/>
      <c r="S15" s="121"/>
      <c r="T15" s="121"/>
    </row>
    <row r="16" spans="1:20" x14ac:dyDescent="0.3">
      <c r="A16" s="121"/>
      <c r="B16" s="121"/>
      <c r="C16" s="121"/>
      <c r="D16" s="121"/>
      <c r="E16" s="121"/>
      <c r="F16" s="121"/>
      <c r="G16" s="121"/>
      <c r="H16" s="121"/>
      <c r="I16" s="121"/>
      <c r="J16" s="121"/>
      <c r="K16" s="121"/>
      <c r="L16" s="121"/>
      <c r="M16" s="121"/>
      <c r="N16" s="121"/>
      <c r="O16" s="121"/>
      <c r="P16" s="121"/>
      <c r="Q16" s="121"/>
      <c r="R16" s="121"/>
      <c r="S16" s="121"/>
      <c r="T16" s="121"/>
    </row>
    <row r="17" spans="1:20" x14ac:dyDescent="0.3">
      <c r="A17" s="121"/>
      <c r="B17" s="121"/>
      <c r="C17" s="121"/>
      <c r="D17" s="121"/>
      <c r="E17" s="121"/>
      <c r="F17" s="121"/>
      <c r="G17" s="121"/>
      <c r="H17" s="121"/>
      <c r="I17" s="121"/>
      <c r="J17" s="121"/>
      <c r="K17" s="121"/>
      <c r="L17" s="121"/>
      <c r="M17" s="121"/>
      <c r="N17" s="121"/>
      <c r="O17" s="121"/>
      <c r="P17" s="121"/>
      <c r="Q17" s="121"/>
      <c r="R17" s="121"/>
      <c r="S17" s="121"/>
      <c r="T17" s="121"/>
    </row>
    <row r="18" spans="1:20" x14ac:dyDescent="0.3">
      <c r="A18" s="121"/>
      <c r="B18" s="121"/>
      <c r="C18" s="121"/>
      <c r="D18" s="121"/>
      <c r="E18" s="121"/>
      <c r="F18" s="121"/>
      <c r="G18" s="121"/>
      <c r="H18" s="121"/>
      <c r="I18" s="121"/>
      <c r="J18" s="121"/>
      <c r="K18" s="121"/>
      <c r="L18" s="121"/>
      <c r="M18" s="121"/>
      <c r="N18" s="121"/>
      <c r="O18" s="121"/>
      <c r="P18" s="121"/>
      <c r="Q18" s="121"/>
      <c r="R18" s="121"/>
      <c r="S18" s="121"/>
      <c r="T18" s="121"/>
    </row>
    <row r="19" spans="1:20" x14ac:dyDescent="0.3">
      <c r="A19" s="121"/>
      <c r="B19" s="121"/>
      <c r="C19" s="121"/>
      <c r="D19" s="121"/>
      <c r="E19" s="121"/>
      <c r="F19" s="121"/>
      <c r="G19" s="121"/>
      <c r="H19" s="121"/>
      <c r="I19" s="121"/>
      <c r="J19" s="121"/>
      <c r="K19" s="121"/>
      <c r="L19" s="121"/>
      <c r="M19" s="121"/>
      <c r="N19" s="121"/>
      <c r="O19" s="121"/>
      <c r="P19" s="121"/>
      <c r="Q19" s="121"/>
      <c r="R19" s="121"/>
      <c r="S19" s="121"/>
      <c r="T19" s="121"/>
    </row>
    <row r="20" spans="1:20" x14ac:dyDescent="0.3">
      <c r="A20" s="121"/>
      <c r="B20" s="121"/>
      <c r="C20" s="121"/>
      <c r="D20" s="121"/>
      <c r="E20" s="121"/>
      <c r="F20" s="121"/>
      <c r="G20" s="121"/>
      <c r="H20" s="121"/>
      <c r="I20" s="121"/>
      <c r="J20" s="121"/>
      <c r="K20" s="121"/>
      <c r="L20" s="121"/>
      <c r="M20" s="121"/>
      <c r="N20" s="121"/>
      <c r="O20" s="121"/>
      <c r="P20" s="121"/>
      <c r="Q20" s="121"/>
      <c r="R20" s="121"/>
      <c r="S20" s="121"/>
      <c r="T20" s="121"/>
    </row>
    <row r="21" spans="1:20" x14ac:dyDescent="0.3">
      <c r="A21" s="121"/>
      <c r="B21" s="121"/>
      <c r="C21" s="121"/>
      <c r="D21" s="121"/>
      <c r="E21" s="121"/>
      <c r="F21" s="121"/>
      <c r="G21" s="121"/>
      <c r="H21" s="121"/>
      <c r="I21" s="121"/>
      <c r="J21" s="121"/>
      <c r="K21" s="121"/>
      <c r="L21" s="121"/>
      <c r="M21" s="121"/>
      <c r="N21" s="121"/>
      <c r="O21" s="121"/>
      <c r="P21" s="121"/>
      <c r="Q21" s="121"/>
      <c r="R21" s="121"/>
      <c r="S21" s="121"/>
      <c r="T21" s="121"/>
    </row>
    <row r="22" spans="1:20" x14ac:dyDescent="0.3">
      <c r="A22" s="121"/>
      <c r="B22" s="121"/>
      <c r="C22" s="121"/>
      <c r="D22" s="121"/>
      <c r="E22" s="121"/>
      <c r="F22" s="121"/>
      <c r="G22" s="121"/>
      <c r="H22" s="121"/>
      <c r="I22" s="121"/>
      <c r="J22" s="121"/>
      <c r="K22" s="121"/>
      <c r="L22" s="121"/>
      <c r="M22" s="121"/>
      <c r="N22" s="121"/>
      <c r="O22" s="121"/>
      <c r="P22" s="121"/>
      <c r="Q22" s="121"/>
      <c r="R22" s="121"/>
      <c r="S22" s="121"/>
      <c r="T22" s="121"/>
    </row>
    <row r="23" spans="1:20" x14ac:dyDescent="0.3">
      <c r="A23" s="121"/>
      <c r="B23" s="121"/>
      <c r="C23" s="121"/>
      <c r="D23" s="121"/>
      <c r="E23" s="121"/>
      <c r="F23" s="121"/>
      <c r="G23" s="121"/>
      <c r="H23" s="121"/>
      <c r="I23" s="121"/>
      <c r="J23" s="121"/>
      <c r="K23" s="121"/>
      <c r="L23" s="121"/>
      <c r="M23" s="121"/>
      <c r="N23" s="121"/>
      <c r="O23" s="121"/>
      <c r="P23" s="121"/>
      <c r="Q23" s="121"/>
      <c r="R23" s="121"/>
      <c r="S23" s="121"/>
      <c r="T23" s="121"/>
    </row>
    <row r="24" spans="1:20" x14ac:dyDescent="0.3">
      <c r="A24" s="121"/>
      <c r="B24" s="121"/>
      <c r="C24" s="121"/>
      <c r="D24" s="121"/>
      <c r="E24" s="121"/>
      <c r="F24" s="121"/>
      <c r="G24" s="121"/>
      <c r="H24" s="121"/>
      <c r="I24" s="121"/>
      <c r="J24" s="121"/>
      <c r="K24" s="121"/>
      <c r="L24" s="121"/>
      <c r="M24" s="121"/>
      <c r="N24" s="121"/>
      <c r="O24" s="121"/>
      <c r="P24" s="121"/>
      <c r="Q24" s="121"/>
      <c r="R24" s="121"/>
      <c r="S24" s="121"/>
      <c r="T24" s="121"/>
    </row>
    <row r="25" spans="1:20" x14ac:dyDescent="0.3">
      <c r="A25" s="121"/>
      <c r="B25" s="121"/>
      <c r="C25" s="121"/>
      <c r="D25" s="121"/>
      <c r="E25" s="121"/>
      <c r="F25" s="121"/>
      <c r="G25" s="121"/>
      <c r="H25" s="121"/>
      <c r="I25" s="121"/>
      <c r="J25" s="121"/>
      <c r="K25" s="121"/>
      <c r="L25" s="121"/>
      <c r="M25" s="121"/>
      <c r="N25" s="121"/>
      <c r="O25" s="121"/>
      <c r="P25" s="121"/>
      <c r="Q25" s="121"/>
      <c r="R25" s="121"/>
      <c r="S25" s="121"/>
      <c r="T25" s="121"/>
    </row>
    <row r="26" spans="1:20" x14ac:dyDescent="0.3">
      <c r="A26" s="121"/>
      <c r="B26" s="121"/>
      <c r="C26" s="121"/>
      <c r="D26" s="121"/>
      <c r="E26" s="121"/>
      <c r="F26" s="121"/>
      <c r="G26" s="121"/>
      <c r="H26" s="121"/>
      <c r="I26" s="121"/>
      <c r="J26" s="121"/>
      <c r="K26" s="121"/>
      <c r="L26" s="121"/>
      <c r="M26" s="121"/>
      <c r="N26" s="121"/>
      <c r="O26" s="121"/>
      <c r="P26" s="121"/>
      <c r="Q26" s="121"/>
      <c r="R26" s="121"/>
      <c r="S26" s="121"/>
      <c r="T26" s="121"/>
    </row>
    <row r="27" spans="1:20" x14ac:dyDescent="0.3">
      <c r="A27" s="121"/>
      <c r="B27" s="121"/>
      <c r="C27" s="121"/>
      <c r="D27" s="121"/>
      <c r="E27" s="121"/>
      <c r="F27" s="121"/>
      <c r="G27" s="121"/>
      <c r="H27" s="121"/>
      <c r="I27" s="121"/>
      <c r="J27" s="121"/>
      <c r="K27" s="121"/>
      <c r="L27" s="121"/>
      <c r="M27" s="121"/>
      <c r="N27" s="121"/>
      <c r="O27" s="121"/>
      <c r="P27" s="121"/>
      <c r="Q27" s="121"/>
      <c r="R27" s="121"/>
      <c r="S27" s="121"/>
      <c r="T27" s="121"/>
    </row>
    <row r="28" spans="1:20" x14ac:dyDescent="0.3">
      <c r="A28" s="121"/>
      <c r="B28" s="121"/>
      <c r="C28" s="121"/>
      <c r="D28" s="121"/>
      <c r="E28" s="121"/>
      <c r="F28" s="121"/>
      <c r="G28" s="121"/>
      <c r="H28" s="121"/>
      <c r="I28" s="121"/>
      <c r="J28" s="121"/>
      <c r="K28" s="121"/>
      <c r="L28" s="121"/>
      <c r="M28" s="121"/>
      <c r="N28" s="121"/>
      <c r="O28" s="121"/>
      <c r="P28" s="121"/>
      <c r="Q28" s="121"/>
      <c r="R28" s="121"/>
      <c r="S28" s="121"/>
      <c r="T28" s="121"/>
    </row>
    <row r="29" spans="1:20" x14ac:dyDescent="0.3">
      <c r="A29" s="121"/>
      <c r="B29" s="121"/>
      <c r="C29" s="121"/>
      <c r="D29" s="121"/>
      <c r="E29" s="121"/>
      <c r="F29" s="121"/>
      <c r="G29" s="121"/>
      <c r="H29" s="121"/>
      <c r="I29" s="121"/>
      <c r="J29" s="121"/>
      <c r="K29" s="121"/>
      <c r="L29" s="121"/>
      <c r="M29" s="121"/>
      <c r="N29" s="121"/>
      <c r="O29" s="121"/>
      <c r="P29" s="121"/>
      <c r="Q29" s="121"/>
      <c r="R29" s="121"/>
      <c r="S29" s="121"/>
      <c r="T29" s="121"/>
    </row>
    <row r="30" spans="1:20" x14ac:dyDescent="0.3">
      <c r="A30" s="121"/>
      <c r="B30" s="121"/>
      <c r="C30" s="121"/>
      <c r="D30" s="121"/>
      <c r="E30" s="121"/>
      <c r="F30" s="121"/>
      <c r="G30" s="121"/>
      <c r="H30" s="121"/>
      <c r="I30" s="121"/>
      <c r="J30" s="121"/>
      <c r="K30" s="121"/>
      <c r="L30" s="121"/>
      <c r="M30" s="121"/>
      <c r="N30" s="121"/>
      <c r="O30" s="121"/>
      <c r="P30" s="121"/>
      <c r="Q30" s="121"/>
      <c r="R30" s="121"/>
      <c r="S30" s="121"/>
      <c r="T30" s="121"/>
    </row>
    <row r="31" spans="1:20" x14ac:dyDescent="0.3">
      <c r="A31" s="121"/>
      <c r="B31" s="121"/>
      <c r="C31" s="121"/>
      <c r="D31" s="121"/>
      <c r="E31" s="121"/>
      <c r="F31" s="121"/>
      <c r="G31" s="121"/>
      <c r="H31" s="121"/>
      <c r="I31" s="121"/>
      <c r="J31" s="121"/>
      <c r="K31" s="121"/>
      <c r="L31" s="121"/>
      <c r="M31" s="121"/>
      <c r="N31" s="121"/>
      <c r="O31" s="121"/>
      <c r="P31" s="121"/>
      <c r="Q31" s="121"/>
      <c r="R31" s="121"/>
      <c r="S31" s="121"/>
      <c r="T31" s="121"/>
    </row>
    <row r="32" spans="1:20" x14ac:dyDescent="0.3">
      <c r="A32" s="121"/>
      <c r="B32" s="121"/>
      <c r="C32" s="121"/>
      <c r="D32" s="121"/>
      <c r="E32" s="121"/>
      <c r="F32" s="121"/>
      <c r="G32" s="121"/>
      <c r="H32" s="121"/>
      <c r="I32" s="121"/>
      <c r="J32" s="121"/>
      <c r="K32" s="121"/>
      <c r="L32" s="121"/>
      <c r="M32" s="121"/>
      <c r="N32" s="121"/>
      <c r="O32" s="121"/>
      <c r="P32" s="121"/>
      <c r="Q32" s="121"/>
      <c r="R32" s="121"/>
      <c r="S32" s="121"/>
      <c r="T32" s="121"/>
    </row>
    <row r="33" spans="1:20" x14ac:dyDescent="0.3">
      <c r="A33" s="121"/>
      <c r="B33" s="121"/>
      <c r="C33" s="121"/>
      <c r="D33" s="121"/>
      <c r="E33" s="121"/>
      <c r="F33" s="121"/>
      <c r="G33" s="121"/>
      <c r="H33" s="121"/>
      <c r="I33" s="121"/>
      <c r="J33" s="121"/>
      <c r="K33" s="121"/>
      <c r="L33" s="121"/>
      <c r="M33" s="121"/>
      <c r="N33" s="121"/>
      <c r="O33" s="121"/>
      <c r="P33" s="121"/>
      <c r="Q33" s="121"/>
      <c r="R33" s="121"/>
      <c r="S33" s="121"/>
      <c r="T33" s="121"/>
    </row>
    <row r="34" spans="1:20" x14ac:dyDescent="0.3">
      <c r="A34" s="121"/>
      <c r="B34" s="121"/>
      <c r="C34" s="121"/>
      <c r="D34" s="121"/>
      <c r="E34" s="121"/>
      <c r="F34" s="121"/>
      <c r="G34" s="121"/>
      <c r="H34" s="121"/>
      <c r="I34" s="121"/>
      <c r="J34" s="121"/>
      <c r="K34" s="121"/>
      <c r="L34" s="121"/>
      <c r="M34" s="121"/>
      <c r="N34" s="121"/>
      <c r="O34" s="121"/>
      <c r="P34" s="121"/>
      <c r="Q34" s="121"/>
      <c r="R34" s="121"/>
      <c r="S34" s="121"/>
      <c r="T34" s="121"/>
    </row>
    <row r="35" spans="1:20" x14ac:dyDescent="0.3">
      <c r="A35" s="121"/>
      <c r="B35" s="121"/>
      <c r="C35" s="121"/>
      <c r="D35" s="121"/>
      <c r="E35" s="121"/>
      <c r="F35" s="121"/>
      <c r="G35" s="121"/>
      <c r="H35" s="121"/>
      <c r="I35" s="121"/>
      <c r="J35" s="121"/>
      <c r="K35" s="121"/>
      <c r="L35" s="121"/>
      <c r="M35" s="121"/>
      <c r="N35" s="121"/>
      <c r="O35" s="121"/>
      <c r="P35" s="121"/>
      <c r="Q35" s="121"/>
      <c r="R35" s="121"/>
      <c r="S35" s="121"/>
      <c r="T35" s="121"/>
    </row>
    <row r="36" spans="1:20" x14ac:dyDescent="0.3">
      <c r="A36" s="121"/>
      <c r="B36" s="121"/>
      <c r="C36" s="121"/>
      <c r="D36" s="121"/>
      <c r="E36" s="121"/>
      <c r="F36" s="121"/>
      <c r="G36" s="121"/>
      <c r="H36" s="121"/>
      <c r="I36" s="121"/>
      <c r="J36" s="121"/>
      <c r="K36" s="121"/>
      <c r="L36" s="121"/>
      <c r="M36" s="121"/>
      <c r="N36" s="121"/>
      <c r="O36" s="121"/>
      <c r="P36" s="121"/>
      <c r="Q36" s="121"/>
      <c r="R36" s="121"/>
      <c r="S36" s="121"/>
      <c r="T36" s="121"/>
    </row>
    <row r="37" spans="1:20" x14ac:dyDescent="0.3">
      <c r="A37" s="121"/>
      <c r="B37" s="121"/>
      <c r="C37" s="121"/>
      <c r="D37" s="121"/>
      <c r="E37" s="121"/>
      <c r="F37" s="121"/>
      <c r="G37" s="121"/>
      <c r="H37" s="121"/>
      <c r="I37" s="121"/>
      <c r="J37" s="121"/>
      <c r="K37" s="121"/>
      <c r="L37" s="121"/>
      <c r="M37" s="121"/>
      <c r="N37" s="121"/>
      <c r="O37" s="121"/>
      <c r="P37" s="121"/>
      <c r="Q37" s="121"/>
      <c r="R37" s="121"/>
      <c r="S37" s="121"/>
      <c r="T37" s="121"/>
    </row>
    <row r="38" spans="1:20" x14ac:dyDescent="0.3">
      <c r="A38" s="121"/>
      <c r="B38" s="121"/>
      <c r="C38" s="121"/>
      <c r="D38" s="121"/>
      <c r="E38" s="121"/>
      <c r="F38" s="121"/>
      <c r="G38" s="121"/>
      <c r="H38" s="121"/>
      <c r="I38" s="121"/>
      <c r="J38" s="121"/>
      <c r="K38" s="121"/>
      <c r="L38" s="121"/>
      <c r="M38" s="121"/>
      <c r="N38" s="121"/>
      <c r="O38" s="121"/>
      <c r="P38" s="121"/>
      <c r="Q38" s="121"/>
      <c r="R38" s="121"/>
      <c r="S38" s="121"/>
      <c r="T38" s="121"/>
    </row>
    <row r="39" spans="1:20" x14ac:dyDescent="0.3">
      <c r="A39" s="121"/>
      <c r="B39" s="121"/>
      <c r="C39" s="121"/>
      <c r="D39" s="121"/>
      <c r="E39" s="121"/>
      <c r="F39" s="121"/>
      <c r="G39" s="121"/>
      <c r="H39" s="121"/>
      <c r="I39" s="121"/>
      <c r="J39" s="121"/>
      <c r="K39" s="121"/>
      <c r="L39" s="121"/>
      <c r="M39" s="121"/>
      <c r="N39" s="121"/>
      <c r="O39" s="121"/>
      <c r="P39" s="121"/>
      <c r="Q39" s="121"/>
      <c r="R39" s="121"/>
      <c r="S39" s="121"/>
      <c r="T39" s="121"/>
    </row>
    <row r="40" spans="1:20" x14ac:dyDescent="0.3">
      <c r="A40" s="121"/>
      <c r="B40" s="121"/>
      <c r="C40" s="121"/>
      <c r="D40" s="121"/>
      <c r="E40" s="121"/>
      <c r="F40" s="121"/>
      <c r="G40" s="121"/>
      <c r="H40" s="121"/>
      <c r="I40" s="121"/>
      <c r="J40" s="121"/>
      <c r="K40" s="121"/>
      <c r="L40" s="121"/>
      <c r="M40" s="121"/>
      <c r="N40" s="121"/>
      <c r="O40" s="121"/>
      <c r="P40" s="121"/>
      <c r="Q40" s="121"/>
      <c r="R40" s="121"/>
      <c r="S40" s="121"/>
      <c r="T40" s="121"/>
    </row>
    <row r="41" spans="1:20" x14ac:dyDescent="0.3">
      <c r="A41" s="121"/>
      <c r="B41" s="121"/>
      <c r="C41" s="121"/>
      <c r="D41" s="121"/>
      <c r="E41" s="121"/>
      <c r="F41" s="121"/>
      <c r="G41" s="121"/>
      <c r="H41" s="121"/>
      <c r="I41" s="121"/>
      <c r="J41" s="121"/>
      <c r="K41" s="121"/>
      <c r="L41" s="121"/>
      <c r="M41" s="121"/>
      <c r="N41" s="121"/>
      <c r="O41" s="121"/>
      <c r="P41" s="121"/>
      <c r="Q41" s="121"/>
      <c r="R41" s="121"/>
      <c r="S41" s="121"/>
      <c r="T41" s="121"/>
    </row>
    <row r="42" spans="1:20" x14ac:dyDescent="0.3">
      <c r="A42" s="121"/>
      <c r="B42" s="121"/>
      <c r="C42" s="121"/>
      <c r="D42" s="121"/>
      <c r="E42" s="121"/>
      <c r="F42" s="121"/>
      <c r="G42" s="121"/>
      <c r="H42" s="121"/>
      <c r="I42" s="121"/>
      <c r="J42" s="121"/>
      <c r="K42" s="121"/>
      <c r="L42" s="121"/>
      <c r="M42" s="121"/>
      <c r="N42" s="121"/>
      <c r="O42" s="121"/>
      <c r="P42" s="121"/>
      <c r="Q42" s="121"/>
      <c r="R42" s="121"/>
      <c r="S42" s="121"/>
      <c r="T42" s="121"/>
    </row>
    <row r="43" spans="1:20" x14ac:dyDescent="0.3">
      <c r="A43" s="121"/>
      <c r="B43" s="121"/>
      <c r="C43" s="121"/>
      <c r="D43" s="121"/>
      <c r="E43" s="121"/>
      <c r="F43" s="121"/>
      <c r="G43" s="121"/>
      <c r="H43" s="121"/>
      <c r="I43" s="121"/>
      <c r="J43" s="121"/>
      <c r="K43" s="121"/>
      <c r="L43" s="121"/>
      <c r="M43" s="121"/>
      <c r="N43" s="121"/>
      <c r="O43" s="121"/>
      <c r="P43" s="121"/>
      <c r="Q43" s="121"/>
      <c r="R43" s="121"/>
      <c r="S43" s="121"/>
      <c r="T43" s="121"/>
    </row>
    <row r="44" spans="1:20" x14ac:dyDescent="0.3">
      <c r="A44" s="121"/>
      <c r="B44" s="121"/>
      <c r="C44" s="121"/>
      <c r="D44" s="121"/>
      <c r="E44" s="121"/>
      <c r="F44" s="121"/>
      <c r="G44" s="121"/>
      <c r="H44" s="121"/>
      <c r="I44" s="121"/>
      <c r="J44" s="121"/>
      <c r="K44" s="121"/>
      <c r="L44" s="121"/>
      <c r="M44" s="121"/>
      <c r="N44" s="121"/>
      <c r="O44" s="121"/>
      <c r="P44" s="121"/>
      <c r="Q44" s="121"/>
      <c r="R44" s="121"/>
      <c r="S44" s="121"/>
      <c r="T44" s="121"/>
    </row>
    <row r="45" spans="1:20" x14ac:dyDescent="0.3">
      <c r="A45" s="121"/>
      <c r="B45" s="121"/>
      <c r="C45" s="121"/>
      <c r="D45" s="121"/>
      <c r="E45" s="121"/>
      <c r="F45" s="121"/>
      <c r="G45" s="121"/>
      <c r="H45" s="121"/>
      <c r="I45" s="121"/>
      <c r="J45" s="121"/>
      <c r="K45" s="121"/>
      <c r="L45" s="121"/>
      <c r="M45" s="121"/>
      <c r="N45" s="121"/>
      <c r="O45" s="121"/>
      <c r="P45" s="121"/>
      <c r="Q45" s="121"/>
      <c r="R45" s="121"/>
      <c r="S45" s="121"/>
      <c r="T45" s="121"/>
    </row>
    <row r="46" spans="1:20" x14ac:dyDescent="0.3">
      <c r="A46" s="121"/>
      <c r="B46" s="121"/>
      <c r="C46" s="121"/>
      <c r="D46" s="121"/>
      <c r="E46" s="121"/>
      <c r="F46" s="121"/>
      <c r="G46" s="121"/>
      <c r="H46" s="121"/>
      <c r="I46" s="121"/>
      <c r="J46" s="121"/>
      <c r="K46" s="121"/>
      <c r="L46" s="121"/>
      <c r="M46" s="121"/>
      <c r="N46" s="121"/>
      <c r="O46" s="121"/>
      <c r="P46" s="121"/>
      <c r="Q46" s="121"/>
      <c r="R46" s="121"/>
      <c r="S46" s="121"/>
      <c r="T46" s="121"/>
    </row>
    <row r="47" spans="1:20" x14ac:dyDescent="0.3">
      <c r="A47" s="121"/>
      <c r="B47" s="121"/>
      <c r="C47" s="121"/>
      <c r="D47" s="121"/>
      <c r="E47" s="121"/>
      <c r="F47" s="121"/>
      <c r="G47" s="121"/>
      <c r="H47" s="121"/>
      <c r="I47" s="121"/>
      <c r="J47" s="121"/>
      <c r="K47" s="121"/>
      <c r="L47" s="121"/>
      <c r="M47" s="121"/>
      <c r="N47" s="121"/>
      <c r="O47" s="121"/>
      <c r="P47" s="121"/>
      <c r="Q47" s="121"/>
      <c r="R47" s="121"/>
      <c r="S47" s="121"/>
      <c r="T47" s="121"/>
    </row>
    <row r="48" spans="1:20" x14ac:dyDescent="0.3">
      <c r="A48" s="121"/>
      <c r="B48" s="121"/>
      <c r="C48" s="121"/>
      <c r="D48" s="121"/>
      <c r="E48" s="121"/>
      <c r="F48" s="121"/>
      <c r="G48" s="121"/>
      <c r="H48" s="121"/>
      <c r="I48" s="121"/>
      <c r="J48" s="121"/>
      <c r="K48" s="121"/>
      <c r="L48" s="121"/>
      <c r="M48" s="121"/>
      <c r="N48" s="121"/>
      <c r="O48" s="121"/>
      <c r="P48" s="121"/>
      <c r="Q48" s="121"/>
      <c r="R48" s="121"/>
      <c r="S48" s="121"/>
      <c r="T48" s="121"/>
    </row>
    <row r="49" spans="1:20" x14ac:dyDescent="0.3">
      <c r="A49" s="121"/>
      <c r="B49" s="121"/>
      <c r="C49" s="121"/>
      <c r="D49" s="121"/>
      <c r="E49" s="121"/>
      <c r="F49" s="121"/>
      <c r="G49" s="121"/>
      <c r="H49" s="121"/>
      <c r="I49" s="121"/>
      <c r="J49" s="121"/>
      <c r="K49" s="121"/>
      <c r="L49" s="121"/>
      <c r="M49" s="121"/>
      <c r="N49" s="121"/>
      <c r="O49" s="121"/>
      <c r="P49" s="121"/>
      <c r="Q49" s="121"/>
      <c r="R49" s="121"/>
      <c r="S49" s="121"/>
      <c r="T49" s="121"/>
    </row>
    <row r="50" spans="1:20" x14ac:dyDescent="0.3">
      <c r="A50" s="121"/>
      <c r="B50" s="121"/>
      <c r="C50" s="121"/>
      <c r="D50" s="121"/>
      <c r="E50" s="121"/>
      <c r="F50" s="121"/>
      <c r="G50" s="121"/>
      <c r="H50" s="121"/>
      <c r="I50" s="121"/>
      <c r="J50" s="121"/>
      <c r="K50" s="121"/>
      <c r="L50" s="121"/>
      <c r="M50" s="121"/>
      <c r="N50" s="121"/>
      <c r="O50" s="121"/>
      <c r="P50" s="121"/>
      <c r="Q50" s="121"/>
      <c r="R50" s="121"/>
      <c r="S50" s="121"/>
      <c r="T50" s="121"/>
    </row>
    <row r="51" spans="1:20" x14ac:dyDescent="0.3">
      <c r="A51" s="121"/>
      <c r="B51" s="121"/>
      <c r="C51" s="121"/>
      <c r="D51" s="121"/>
      <c r="E51" s="121"/>
      <c r="F51" s="121"/>
      <c r="G51" s="121"/>
      <c r="H51" s="121"/>
      <c r="I51" s="121"/>
      <c r="J51" s="121"/>
      <c r="K51" s="121"/>
      <c r="L51" s="121"/>
      <c r="M51" s="121"/>
      <c r="N51" s="121"/>
      <c r="O51" s="121"/>
      <c r="P51" s="121"/>
      <c r="Q51" s="121"/>
      <c r="R51" s="121"/>
      <c r="S51" s="121"/>
      <c r="T51" s="121"/>
    </row>
    <row r="52" spans="1:20" x14ac:dyDescent="0.3">
      <c r="A52" s="121"/>
      <c r="B52" s="121"/>
      <c r="C52" s="121"/>
      <c r="D52" s="121"/>
      <c r="E52" s="121"/>
      <c r="F52" s="121"/>
      <c r="G52" s="121"/>
      <c r="H52" s="121"/>
      <c r="I52" s="121"/>
      <c r="J52" s="121"/>
      <c r="K52" s="121"/>
      <c r="L52" s="121"/>
      <c r="M52" s="121"/>
      <c r="N52" s="121"/>
      <c r="O52" s="121"/>
      <c r="P52" s="121"/>
      <c r="Q52" s="121"/>
      <c r="R52" s="121"/>
      <c r="S52" s="121"/>
      <c r="T52" s="121"/>
    </row>
    <row r="53" spans="1:20" x14ac:dyDescent="0.3">
      <c r="A53" s="121"/>
      <c r="B53" s="121"/>
      <c r="C53" s="121"/>
      <c r="D53" s="121"/>
      <c r="E53" s="121"/>
      <c r="F53" s="121"/>
      <c r="G53" s="121"/>
      <c r="H53" s="121"/>
      <c r="I53" s="121"/>
      <c r="J53" s="121"/>
      <c r="K53" s="121"/>
      <c r="L53" s="121"/>
      <c r="M53" s="121"/>
      <c r="N53" s="121"/>
      <c r="O53" s="121"/>
      <c r="P53" s="121"/>
      <c r="Q53" s="121"/>
      <c r="R53" s="121"/>
      <c r="S53" s="121"/>
      <c r="T53" s="121"/>
    </row>
    <row r="54" spans="1:20" x14ac:dyDescent="0.3">
      <c r="A54" s="121"/>
      <c r="B54" s="121"/>
      <c r="C54" s="121"/>
      <c r="D54" s="121"/>
      <c r="E54" s="121"/>
      <c r="F54" s="121"/>
      <c r="G54" s="121"/>
      <c r="H54" s="121"/>
      <c r="I54" s="121"/>
      <c r="J54" s="121"/>
      <c r="K54" s="121"/>
      <c r="L54" s="121"/>
      <c r="M54" s="121"/>
      <c r="N54" s="121"/>
      <c r="O54" s="121"/>
      <c r="P54" s="121"/>
      <c r="Q54" s="121"/>
      <c r="R54" s="121"/>
      <c r="S54" s="121"/>
      <c r="T54" s="121"/>
    </row>
    <row r="55" spans="1:20" x14ac:dyDescent="0.3">
      <c r="A55" s="121"/>
      <c r="B55" s="121"/>
      <c r="C55" s="121"/>
      <c r="D55" s="121"/>
      <c r="E55" s="121"/>
      <c r="F55" s="121"/>
      <c r="G55" s="121"/>
      <c r="H55" s="121"/>
      <c r="I55" s="121"/>
      <c r="J55" s="121"/>
      <c r="K55" s="121"/>
      <c r="L55" s="121"/>
      <c r="M55" s="121"/>
      <c r="N55" s="121"/>
      <c r="O55" s="121"/>
      <c r="P55" s="121"/>
      <c r="Q55" s="121"/>
      <c r="R55" s="121"/>
      <c r="S55" s="121"/>
      <c r="T55" s="121"/>
    </row>
    <row r="56" spans="1:20" x14ac:dyDescent="0.3">
      <c r="A56" s="121"/>
      <c r="B56" s="121"/>
      <c r="C56" s="121"/>
      <c r="D56" s="121"/>
      <c r="E56" s="121"/>
      <c r="F56" s="121"/>
      <c r="G56" s="121"/>
      <c r="H56" s="121"/>
      <c r="I56" s="121"/>
      <c r="J56" s="121"/>
      <c r="K56" s="121"/>
      <c r="L56" s="121"/>
      <c r="M56" s="121"/>
      <c r="N56" s="121"/>
      <c r="O56" s="121"/>
      <c r="P56" s="121"/>
      <c r="Q56" s="121"/>
      <c r="R56" s="121"/>
      <c r="S56" s="121"/>
      <c r="T56" s="121"/>
    </row>
    <row r="57" spans="1:20" x14ac:dyDescent="0.3">
      <c r="A57" s="121"/>
      <c r="B57" s="121"/>
      <c r="C57" s="121"/>
      <c r="D57" s="121"/>
      <c r="E57" s="121"/>
      <c r="F57" s="121"/>
      <c r="G57" s="121"/>
      <c r="H57" s="121"/>
      <c r="I57" s="121"/>
      <c r="J57" s="121"/>
      <c r="K57" s="121"/>
      <c r="L57" s="121"/>
      <c r="M57" s="121"/>
      <c r="N57" s="121"/>
      <c r="O57" s="121"/>
      <c r="P57" s="121"/>
      <c r="Q57" s="121"/>
      <c r="R57" s="121"/>
      <c r="S57" s="121"/>
      <c r="T57" s="121"/>
    </row>
    <row r="58" spans="1:20" x14ac:dyDescent="0.3">
      <c r="A58" s="121"/>
      <c r="B58" s="121"/>
      <c r="C58" s="121"/>
      <c r="D58" s="121"/>
      <c r="E58" s="121"/>
      <c r="F58" s="121"/>
      <c r="G58" s="121"/>
      <c r="H58" s="121"/>
      <c r="I58" s="121"/>
      <c r="J58" s="121"/>
      <c r="K58" s="121"/>
      <c r="L58" s="121"/>
      <c r="M58" s="121"/>
      <c r="N58" s="121"/>
      <c r="O58" s="121"/>
      <c r="P58" s="121"/>
      <c r="Q58" s="121"/>
      <c r="R58" s="121"/>
      <c r="S58" s="121"/>
      <c r="T58" s="121"/>
    </row>
    <row r="59" spans="1:20" x14ac:dyDescent="0.3">
      <c r="A59" s="121"/>
      <c r="B59" s="121"/>
      <c r="C59" s="121"/>
      <c r="D59" s="121"/>
      <c r="E59" s="121"/>
      <c r="F59" s="121"/>
      <c r="G59" s="121"/>
      <c r="H59" s="121"/>
      <c r="I59" s="121"/>
      <c r="J59" s="121"/>
      <c r="K59" s="121"/>
      <c r="L59" s="121"/>
      <c r="M59" s="121"/>
      <c r="N59" s="121"/>
      <c r="O59" s="121"/>
      <c r="P59" s="121"/>
      <c r="Q59" s="121"/>
      <c r="R59" s="121"/>
      <c r="S59" s="121"/>
      <c r="T59" s="121"/>
    </row>
    <row r="60" spans="1:20" x14ac:dyDescent="0.3">
      <c r="A60" s="121"/>
      <c r="B60" s="121"/>
      <c r="C60" s="121"/>
      <c r="D60" s="121"/>
      <c r="E60" s="121"/>
      <c r="F60" s="121"/>
      <c r="G60" s="121"/>
      <c r="H60" s="121"/>
      <c r="I60" s="121"/>
      <c r="J60" s="121"/>
      <c r="K60" s="121"/>
      <c r="L60" s="121"/>
      <c r="M60" s="121"/>
      <c r="N60" s="121"/>
      <c r="O60" s="121"/>
      <c r="P60" s="121"/>
      <c r="Q60" s="121"/>
      <c r="R60" s="121"/>
      <c r="S60" s="121"/>
      <c r="T60" s="121"/>
    </row>
    <row r="61" spans="1:20" x14ac:dyDescent="0.3">
      <c r="A61" s="121"/>
      <c r="B61" s="121"/>
      <c r="C61" s="121"/>
      <c r="D61" s="121"/>
      <c r="E61" s="121"/>
      <c r="F61" s="121"/>
      <c r="G61" s="121"/>
      <c r="H61" s="121"/>
      <c r="I61" s="121"/>
      <c r="J61" s="121"/>
      <c r="K61" s="121"/>
      <c r="L61" s="121"/>
      <c r="M61" s="121"/>
      <c r="N61" s="121"/>
      <c r="O61" s="121"/>
      <c r="P61" s="121"/>
      <c r="Q61" s="121"/>
      <c r="R61" s="121"/>
      <c r="S61" s="121"/>
      <c r="T61" s="121"/>
    </row>
    <row r="62" spans="1:20" x14ac:dyDescent="0.3">
      <c r="A62" s="121"/>
      <c r="B62" s="121"/>
      <c r="C62" s="121"/>
      <c r="D62" s="121"/>
      <c r="E62" s="121"/>
      <c r="F62" s="121"/>
      <c r="G62" s="121"/>
      <c r="H62" s="121"/>
      <c r="I62" s="121"/>
      <c r="J62" s="121"/>
      <c r="K62" s="121"/>
      <c r="L62" s="121"/>
      <c r="M62" s="121"/>
      <c r="N62" s="121"/>
      <c r="O62" s="121"/>
      <c r="P62" s="121"/>
      <c r="Q62" s="121"/>
      <c r="R62" s="121"/>
      <c r="S62" s="121"/>
      <c r="T62" s="121"/>
    </row>
    <row r="63" spans="1:20" x14ac:dyDescent="0.3">
      <c r="A63" s="121"/>
      <c r="B63" s="121"/>
      <c r="C63" s="121"/>
      <c r="D63" s="121"/>
      <c r="E63" s="121"/>
      <c r="F63" s="121"/>
      <c r="G63" s="121"/>
      <c r="H63" s="121"/>
      <c r="I63" s="121"/>
      <c r="J63" s="121"/>
      <c r="K63" s="121"/>
      <c r="L63" s="121"/>
      <c r="M63" s="121"/>
      <c r="N63" s="121"/>
      <c r="O63" s="121"/>
      <c r="P63" s="121"/>
      <c r="Q63" s="121"/>
      <c r="R63" s="121"/>
      <c r="S63" s="121"/>
      <c r="T63" s="121"/>
    </row>
    <row r="64" spans="1:20" x14ac:dyDescent="0.3">
      <c r="A64" s="121"/>
      <c r="B64" s="121"/>
      <c r="C64" s="121"/>
      <c r="D64" s="121"/>
      <c r="E64" s="121"/>
      <c r="F64" s="121"/>
      <c r="G64" s="121"/>
      <c r="H64" s="121"/>
      <c r="I64" s="121"/>
      <c r="J64" s="121"/>
      <c r="K64" s="121"/>
      <c r="L64" s="121"/>
      <c r="M64" s="121"/>
      <c r="N64" s="121"/>
      <c r="O64" s="121"/>
      <c r="P64" s="121"/>
      <c r="Q64" s="121"/>
      <c r="R64" s="121"/>
      <c r="S64" s="121"/>
      <c r="T64" s="121"/>
    </row>
    <row r="65" spans="1:20" x14ac:dyDescent="0.3">
      <c r="A65" s="121"/>
      <c r="B65" s="121"/>
      <c r="C65" s="121"/>
      <c r="D65" s="121"/>
      <c r="E65" s="121"/>
      <c r="F65" s="121"/>
      <c r="G65" s="121"/>
      <c r="H65" s="121"/>
      <c r="I65" s="121"/>
      <c r="J65" s="121"/>
      <c r="K65" s="121"/>
      <c r="L65" s="121"/>
      <c r="M65" s="121"/>
      <c r="N65" s="121"/>
      <c r="O65" s="121"/>
      <c r="P65" s="121"/>
      <c r="Q65" s="121"/>
      <c r="R65" s="121"/>
      <c r="S65" s="121"/>
      <c r="T65" s="121"/>
    </row>
    <row r="66" spans="1:20" x14ac:dyDescent="0.3">
      <c r="A66" s="121"/>
      <c r="B66" s="121"/>
      <c r="C66" s="121"/>
      <c r="D66" s="121"/>
      <c r="E66" s="121"/>
      <c r="F66" s="121"/>
      <c r="G66" s="121"/>
      <c r="H66" s="121"/>
      <c r="I66" s="121"/>
      <c r="J66" s="121"/>
      <c r="K66" s="121"/>
      <c r="L66" s="121"/>
      <c r="M66" s="121"/>
      <c r="N66" s="121"/>
      <c r="O66" s="121"/>
      <c r="P66" s="121"/>
      <c r="Q66" s="121"/>
      <c r="R66" s="121"/>
      <c r="S66" s="121"/>
      <c r="T66" s="121"/>
    </row>
    <row r="67" spans="1:20" x14ac:dyDescent="0.3">
      <c r="A67" s="121"/>
      <c r="B67" s="121"/>
      <c r="C67" s="121"/>
      <c r="D67" s="121"/>
      <c r="E67" s="121"/>
      <c r="F67" s="121"/>
      <c r="G67" s="121"/>
      <c r="H67" s="121"/>
      <c r="I67" s="121"/>
      <c r="J67" s="121"/>
      <c r="K67" s="121"/>
      <c r="L67" s="121"/>
      <c r="M67" s="121"/>
      <c r="N67" s="121"/>
      <c r="O67" s="121"/>
      <c r="P67" s="121"/>
      <c r="Q67" s="121"/>
      <c r="R67" s="121"/>
      <c r="S67" s="121"/>
      <c r="T67" s="121"/>
    </row>
    <row r="68" spans="1:20" x14ac:dyDescent="0.3">
      <c r="A68" s="121"/>
      <c r="B68" s="121"/>
      <c r="C68" s="121"/>
      <c r="D68" s="121"/>
      <c r="E68" s="121"/>
      <c r="F68" s="121"/>
      <c r="G68" s="121"/>
      <c r="H68" s="121"/>
      <c r="I68" s="121"/>
      <c r="J68" s="121"/>
      <c r="K68" s="121"/>
      <c r="L68" s="121"/>
      <c r="M68" s="121"/>
      <c r="N68" s="121"/>
      <c r="O68" s="121"/>
      <c r="P68" s="121"/>
      <c r="Q68" s="121"/>
      <c r="R68" s="121"/>
      <c r="S68" s="121"/>
      <c r="T68" s="121"/>
    </row>
    <row r="69" spans="1:20" x14ac:dyDescent="0.3">
      <c r="A69" s="121"/>
      <c r="B69" s="121"/>
      <c r="C69" s="121"/>
      <c r="D69" s="121"/>
      <c r="E69" s="121"/>
      <c r="F69" s="121"/>
      <c r="G69" s="121"/>
      <c r="H69" s="121"/>
      <c r="I69" s="121"/>
      <c r="J69" s="121"/>
      <c r="K69" s="121"/>
      <c r="L69" s="121"/>
      <c r="M69" s="121"/>
      <c r="N69" s="121"/>
      <c r="O69" s="121"/>
      <c r="P69" s="121"/>
      <c r="Q69" s="121"/>
      <c r="R69" s="121"/>
      <c r="S69" s="121"/>
      <c r="T69" s="121"/>
    </row>
    <row r="70" spans="1:20" x14ac:dyDescent="0.3">
      <c r="A70" s="121"/>
      <c r="B70" s="121"/>
      <c r="C70" s="121"/>
      <c r="D70" s="121"/>
      <c r="E70" s="121"/>
      <c r="F70" s="121"/>
      <c r="G70" s="121"/>
      <c r="H70" s="121"/>
      <c r="I70" s="121"/>
      <c r="J70" s="121"/>
      <c r="K70" s="121"/>
      <c r="L70" s="121"/>
      <c r="M70" s="121"/>
      <c r="N70" s="121"/>
      <c r="O70" s="121"/>
      <c r="P70" s="121"/>
      <c r="Q70" s="121"/>
      <c r="R70" s="121"/>
      <c r="S70" s="121"/>
      <c r="T70" s="121"/>
    </row>
    <row r="71" spans="1:20" x14ac:dyDescent="0.3">
      <c r="A71" s="121"/>
      <c r="B71" s="121"/>
      <c r="C71" s="121"/>
      <c r="D71" s="121"/>
      <c r="E71" s="121"/>
      <c r="F71" s="121"/>
      <c r="G71" s="121"/>
      <c r="H71" s="121"/>
      <c r="I71" s="121"/>
      <c r="J71" s="121"/>
      <c r="K71" s="121"/>
      <c r="L71" s="121"/>
      <c r="M71" s="121"/>
      <c r="N71" s="121"/>
      <c r="O71" s="121"/>
      <c r="P71" s="121"/>
      <c r="Q71" s="121"/>
      <c r="R71" s="121"/>
      <c r="S71" s="121"/>
      <c r="T71" s="121"/>
    </row>
    <row r="72" spans="1:20" x14ac:dyDescent="0.3">
      <c r="A72" s="121"/>
      <c r="B72" s="121"/>
      <c r="C72" s="121"/>
      <c r="D72" s="121"/>
      <c r="E72" s="121"/>
      <c r="F72" s="121"/>
      <c r="G72" s="121"/>
      <c r="H72" s="121"/>
      <c r="I72" s="121"/>
      <c r="J72" s="121"/>
      <c r="K72" s="121"/>
      <c r="L72" s="121"/>
      <c r="M72" s="121"/>
      <c r="N72" s="121"/>
      <c r="O72" s="121"/>
      <c r="P72" s="121"/>
      <c r="Q72" s="121"/>
      <c r="R72" s="121"/>
      <c r="S72" s="121"/>
      <c r="T72" s="121"/>
    </row>
    <row r="73" spans="1:20" x14ac:dyDescent="0.3">
      <c r="A73" s="121"/>
      <c r="B73" s="121"/>
      <c r="C73" s="121"/>
      <c r="D73" s="121"/>
      <c r="E73" s="121"/>
      <c r="F73" s="121"/>
      <c r="G73" s="121"/>
      <c r="H73" s="121"/>
      <c r="I73" s="121"/>
      <c r="J73" s="121"/>
      <c r="K73" s="121"/>
      <c r="L73" s="121"/>
      <c r="M73" s="121"/>
      <c r="N73" s="121"/>
      <c r="O73" s="121"/>
      <c r="P73" s="121"/>
      <c r="Q73" s="121"/>
      <c r="R73" s="121"/>
      <c r="S73" s="121"/>
      <c r="T73" s="121"/>
    </row>
    <row r="74" spans="1:20" x14ac:dyDescent="0.3">
      <c r="A74" s="121"/>
      <c r="B74" s="121"/>
      <c r="C74" s="121"/>
      <c r="D74" s="121"/>
      <c r="E74" s="121"/>
      <c r="F74" s="121"/>
      <c r="G74" s="121"/>
      <c r="H74" s="121"/>
      <c r="I74" s="121"/>
      <c r="J74" s="121"/>
      <c r="K74" s="121"/>
      <c r="L74" s="121"/>
      <c r="M74" s="121"/>
      <c r="N74" s="121"/>
      <c r="O74" s="121"/>
      <c r="P74" s="121"/>
      <c r="Q74" s="121"/>
      <c r="R74" s="121"/>
      <c r="S74" s="121"/>
      <c r="T74" s="121"/>
    </row>
    <row r="75" spans="1:20" x14ac:dyDescent="0.3">
      <c r="A75" s="121"/>
      <c r="B75" s="121"/>
      <c r="C75" s="121"/>
      <c r="D75" s="121"/>
      <c r="E75" s="121"/>
      <c r="F75" s="121"/>
      <c r="G75" s="121"/>
      <c r="H75" s="121"/>
      <c r="I75" s="121"/>
      <c r="J75" s="121"/>
      <c r="K75" s="121"/>
      <c r="L75" s="121"/>
      <c r="M75" s="121"/>
      <c r="N75" s="121"/>
      <c r="O75" s="121"/>
      <c r="P75" s="121"/>
      <c r="Q75" s="121"/>
      <c r="R75" s="121"/>
      <c r="S75" s="121"/>
      <c r="T75" s="121"/>
    </row>
    <row r="76" spans="1:20" x14ac:dyDescent="0.3">
      <c r="A76" s="121"/>
      <c r="B76" s="121"/>
      <c r="C76" s="121"/>
      <c r="D76" s="121"/>
      <c r="E76" s="121"/>
      <c r="F76" s="121"/>
      <c r="G76" s="121"/>
      <c r="H76" s="121"/>
      <c r="I76" s="121"/>
      <c r="J76" s="121"/>
      <c r="K76" s="121"/>
      <c r="L76" s="121"/>
      <c r="M76" s="121"/>
      <c r="N76" s="121"/>
      <c r="O76" s="121"/>
      <c r="P76" s="121"/>
      <c r="Q76" s="121"/>
      <c r="R76" s="121"/>
      <c r="S76" s="121"/>
      <c r="T76" s="121"/>
    </row>
    <row r="77" spans="1:20" x14ac:dyDescent="0.3">
      <c r="A77" s="121"/>
      <c r="B77" s="121"/>
      <c r="C77" s="121"/>
      <c r="D77" s="121"/>
      <c r="E77" s="121"/>
      <c r="F77" s="121"/>
      <c r="G77" s="121"/>
      <c r="H77" s="121"/>
      <c r="I77" s="121"/>
      <c r="J77" s="121"/>
      <c r="K77" s="121"/>
      <c r="L77" s="121"/>
      <c r="M77" s="121"/>
      <c r="N77" s="121"/>
      <c r="O77" s="121"/>
      <c r="P77" s="121"/>
      <c r="Q77" s="121"/>
      <c r="R77" s="121"/>
      <c r="S77" s="121"/>
      <c r="T77" s="121"/>
    </row>
    <row r="78" spans="1:20" x14ac:dyDescent="0.3">
      <c r="A78" s="121"/>
      <c r="B78" s="121"/>
      <c r="C78" s="121"/>
      <c r="D78" s="121"/>
      <c r="E78" s="121"/>
      <c r="F78" s="121"/>
      <c r="G78" s="121"/>
      <c r="H78" s="121"/>
      <c r="I78" s="121"/>
      <c r="J78" s="121"/>
      <c r="K78" s="121"/>
      <c r="L78" s="121"/>
      <c r="M78" s="121"/>
      <c r="N78" s="121"/>
      <c r="O78" s="121"/>
      <c r="P78" s="121"/>
      <c r="Q78" s="121"/>
      <c r="R78" s="121"/>
      <c r="S78" s="121"/>
      <c r="T78" s="121"/>
    </row>
    <row r="79" spans="1:20" x14ac:dyDescent="0.3">
      <c r="A79" s="121"/>
      <c r="B79" s="121"/>
      <c r="C79" s="121"/>
      <c r="D79" s="121"/>
      <c r="E79" s="121"/>
      <c r="F79" s="121"/>
      <c r="G79" s="121"/>
      <c r="H79" s="121"/>
      <c r="I79" s="121"/>
      <c r="J79" s="121"/>
      <c r="K79" s="121"/>
      <c r="L79" s="121"/>
      <c r="M79" s="121"/>
      <c r="N79" s="121"/>
      <c r="O79" s="121"/>
      <c r="P79" s="121"/>
      <c r="Q79" s="121"/>
      <c r="R79" s="121"/>
      <c r="S79" s="121"/>
      <c r="T79" s="121"/>
    </row>
    <row r="80" spans="1:20" x14ac:dyDescent="0.3">
      <c r="A80" s="121"/>
      <c r="B80" s="121"/>
      <c r="C80" s="121"/>
      <c r="D80" s="121"/>
      <c r="E80" s="121"/>
      <c r="F80" s="121"/>
      <c r="G80" s="121"/>
      <c r="H80" s="121"/>
      <c r="I80" s="121"/>
      <c r="J80" s="121"/>
      <c r="K80" s="121"/>
      <c r="L80" s="121"/>
      <c r="M80" s="121"/>
      <c r="N80" s="121"/>
      <c r="O80" s="121"/>
      <c r="P80" s="121"/>
      <c r="Q80" s="121"/>
      <c r="R80" s="121"/>
      <c r="S80" s="121"/>
      <c r="T80" s="121"/>
    </row>
    <row r="81" spans="1:20" x14ac:dyDescent="0.3">
      <c r="A81" s="121"/>
      <c r="B81" s="121"/>
      <c r="C81" s="121"/>
      <c r="D81" s="121"/>
      <c r="E81" s="121"/>
      <c r="F81" s="121"/>
      <c r="G81" s="121"/>
      <c r="H81" s="121"/>
      <c r="I81" s="121"/>
      <c r="J81" s="121"/>
      <c r="K81" s="121"/>
      <c r="L81" s="121"/>
      <c r="M81" s="121"/>
      <c r="N81" s="121"/>
      <c r="O81" s="121"/>
      <c r="P81" s="121"/>
      <c r="Q81" s="121"/>
      <c r="R81" s="121"/>
      <c r="S81" s="121"/>
      <c r="T81" s="121"/>
    </row>
    <row r="82" spans="1:20" x14ac:dyDescent="0.3">
      <c r="A82" s="121"/>
      <c r="B82" s="121"/>
      <c r="C82" s="121"/>
      <c r="D82" s="121"/>
      <c r="E82" s="121"/>
      <c r="F82" s="121"/>
      <c r="G82" s="121"/>
      <c r="H82" s="121"/>
      <c r="I82" s="121"/>
      <c r="J82" s="121"/>
      <c r="K82" s="121"/>
      <c r="L82" s="121"/>
      <c r="M82" s="121"/>
      <c r="N82" s="121"/>
      <c r="O82" s="121"/>
      <c r="P82" s="121"/>
      <c r="Q82" s="121"/>
      <c r="R82" s="121"/>
      <c r="S82" s="121"/>
      <c r="T82" s="121"/>
    </row>
    <row r="83" spans="1:20" x14ac:dyDescent="0.3">
      <c r="A83" s="121"/>
      <c r="B83" s="121"/>
      <c r="C83" s="121"/>
      <c r="D83" s="121"/>
      <c r="E83" s="121"/>
      <c r="F83" s="121"/>
      <c r="G83" s="121"/>
      <c r="H83" s="121"/>
      <c r="I83" s="121"/>
      <c r="J83" s="121"/>
      <c r="K83" s="121"/>
      <c r="L83" s="121"/>
      <c r="M83" s="121"/>
      <c r="N83" s="121"/>
      <c r="O83" s="121"/>
      <c r="P83" s="121"/>
      <c r="Q83" s="121"/>
      <c r="R83" s="121"/>
      <c r="S83" s="121"/>
      <c r="T83" s="121"/>
    </row>
    <row r="84" spans="1:20" x14ac:dyDescent="0.3">
      <c r="A84" s="121"/>
      <c r="B84" s="121"/>
      <c r="C84" s="121"/>
      <c r="D84" s="121"/>
      <c r="E84" s="121"/>
      <c r="F84" s="121"/>
      <c r="G84" s="121"/>
      <c r="H84" s="121"/>
      <c r="I84" s="121"/>
      <c r="J84" s="121"/>
      <c r="K84" s="121"/>
      <c r="L84" s="121"/>
      <c r="M84" s="121"/>
      <c r="N84" s="121"/>
      <c r="O84" s="121"/>
      <c r="P84" s="121"/>
      <c r="Q84" s="121"/>
      <c r="R84" s="121"/>
      <c r="S84" s="121"/>
      <c r="T84" s="121"/>
    </row>
    <row r="85" spans="1:20" x14ac:dyDescent="0.3">
      <c r="A85" s="121"/>
      <c r="B85" s="121"/>
      <c r="C85" s="121"/>
      <c r="D85" s="121"/>
      <c r="E85" s="121"/>
      <c r="F85" s="121"/>
      <c r="G85" s="121"/>
      <c r="H85" s="121"/>
      <c r="I85" s="121"/>
      <c r="J85" s="121"/>
      <c r="K85" s="121"/>
      <c r="L85" s="121"/>
      <c r="M85" s="121"/>
      <c r="N85" s="121"/>
      <c r="O85" s="121"/>
      <c r="P85" s="121"/>
      <c r="Q85" s="121"/>
      <c r="R85" s="121"/>
      <c r="S85" s="121"/>
      <c r="T85" s="121"/>
    </row>
    <row r="86" spans="1:20" x14ac:dyDescent="0.3">
      <c r="A86" s="121"/>
      <c r="B86" s="121"/>
      <c r="C86" s="121"/>
      <c r="D86" s="121"/>
      <c r="E86" s="121"/>
      <c r="F86" s="121"/>
      <c r="G86" s="121"/>
      <c r="H86" s="121"/>
      <c r="I86" s="121"/>
      <c r="J86" s="121"/>
      <c r="K86" s="121"/>
      <c r="L86" s="121"/>
      <c r="M86" s="121"/>
      <c r="N86" s="121"/>
      <c r="O86" s="121"/>
      <c r="P86" s="121"/>
      <c r="Q86" s="121"/>
      <c r="R86" s="121"/>
      <c r="S86" s="121"/>
      <c r="T86" s="121"/>
    </row>
    <row r="87" spans="1:20" x14ac:dyDescent="0.3">
      <c r="A87" s="121"/>
      <c r="B87" s="121"/>
      <c r="C87" s="121"/>
      <c r="D87" s="121"/>
      <c r="E87" s="121"/>
      <c r="F87" s="121"/>
      <c r="G87" s="121"/>
      <c r="H87" s="121"/>
      <c r="I87" s="121"/>
      <c r="J87" s="121"/>
      <c r="K87" s="121"/>
      <c r="L87" s="121"/>
      <c r="M87" s="121"/>
      <c r="N87" s="121"/>
      <c r="O87" s="121"/>
      <c r="P87" s="121"/>
      <c r="Q87" s="121"/>
      <c r="R87" s="121"/>
      <c r="S87" s="121"/>
      <c r="T87" s="121"/>
    </row>
    <row r="88" spans="1:20" x14ac:dyDescent="0.3">
      <c r="A88" s="121"/>
      <c r="B88" s="121"/>
      <c r="C88" s="121"/>
      <c r="D88" s="121"/>
      <c r="E88" s="121"/>
      <c r="F88" s="121"/>
      <c r="G88" s="121"/>
      <c r="H88" s="121"/>
      <c r="I88" s="121"/>
      <c r="J88" s="121"/>
      <c r="K88" s="121"/>
      <c r="L88" s="121"/>
      <c r="M88" s="121"/>
      <c r="N88" s="121"/>
      <c r="O88" s="121"/>
      <c r="P88" s="121"/>
      <c r="Q88" s="121"/>
      <c r="R88" s="121"/>
      <c r="S88" s="121"/>
      <c r="T88" s="121"/>
    </row>
    <row r="89" spans="1:20" x14ac:dyDescent="0.3">
      <c r="A89" s="121"/>
      <c r="B89" s="121"/>
      <c r="C89" s="121"/>
      <c r="D89" s="121"/>
      <c r="E89" s="121"/>
      <c r="F89" s="121"/>
      <c r="G89" s="121"/>
      <c r="H89" s="121"/>
      <c r="I89" s="121"/>
      <c r="J89" s="121"/>
      <c r="K89" s="121"/>
      <c r="L89" s="121"/>
      <c r="M89" s="121"/>
      <c r="N89" s="121"/>
      <c r="O89" s="121"/>
      <c r="P89" s="121"/>
      <c r="Q89" s="121"/>
      <c r="R89" s="121"/>
      <c r="S89" s="121"/>
      <c r="T89" s="121"/>
    </row>
    <row r="90" spans="1:20" x14ac:dyDescent="0.3">
      <c r="A90" s="121"/>
      <c r="B90" s="121"/>
      <c r="C90" s="121"/>
      <c r="D90" s="121"/>
      <c r="E90" s="121"/>
      <c r="F90" s="121"/>
      <c r="G90" s="121"/>
      <c r="H90" s="121"/>
      <c r="I90" s="121"/>
      <c r="J90" s="121"/>
      <c r="K90" s="121"/>
      <c r="L90" s="121"/>
      <c r="M90" s="121"/>
      <c r="N90" s="121"/>
      <c r="O90" s="121"/>
      <c r="P90" s="121"/>
      <c r="Q90" s="121"/>
      <c r="R90" s="121"/>
      <c r="S90" s="121"/>
      <c r="T90" s="121"/>
    </row>
    <row r="91" spans="1:20" x14ac:dyDescent="0.3">
      <c r="A91" s="121"/>
      <c r="B91" s="121"/>
      <c r="C91" s="121"/>
      <c r="D91" s="121"/>
      <c r="E91" s="121"/>
      <c r="F91" s="121"/>
      <c r="G91" s="121"/>
      <c r="H91" s="121"/>
      <c r="I91" s="121"/>
      <c r="J91" s="121"/>
      <c r="K91" s="121"/>
      <c r="L91" s="121"/>
      <c r="M91" s="121"/>
      <c r="N91" s="121"/>
      <c r="O91" s="121"/>
      <c r="P91" s="121"/>
      <c r="Q91" s="121"/>
      <c r="R91" s="121"/>
      <c r="S91" s="121"/>
      <c r="T91" s="121"/>
    </row>
    <row r="92" spans="1:20" x14ac:dyDescent="0.3">
      <c r="A92" s="121"/>
      <c r="B92" s="121"/>
      <c r="C92" s="121"/>
      <c r="D92" s="121"/>
      <c r="E92" s="121"/>
      <c r="F92" s="121"/>
      <c r="G92" s="121"/>
      <c r="H92" s="121"/>
      <c r="I92" s="121"/>
      <c r="J92" s="121"/>
      <c r="K92" s="121"/>
      <c r="L92" s="121"/>
      <c r="M92" s="121"/>
      <c r="N92" s="121"/>
      <c r="O92" s="121"/>
      <c r="P92" s="121"/>
      <c r="Q92" s="121"/>
      <c r="R92" s="121"/>
      <c r="S92" s="121"/>
      <c r="T92" s="121"/>
    </row>
    <row r="93" spans="1:20" x14ac:dyDescent="0.3">
      <c r="A93" s="121"/>
      <c r="B93" s="121"/>
      <c r="C93" s="121"/>
      <c r="D93" s="121"/>
      <c r="E93" s="121"/>
      <c r="F93" s="121"/>
      <c r="G93" s="121"/>
      <c r="H93" s="121"/>
      <c r="I93" s="121"/>
      <c r="J93" s="121"/>
      <c r="K93" s="121"/>
      <c r="L93" s="121"/>
      <c r="M93" s="121"/>
      <c r="N93" s="121"/>
      <c r="O93" s="121"/>
      <c r="P93" s="121"/>
      <c r="Q93" s="121"/>
      <c r="R93" s="121"/>
      <c r="S93" s="121"/>
      <c r="T93" s="121"/>
    </row>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row r="122" s="1" customFormat="1" x14ac:dyDescent="0.3"/>
    <row r="123" s="1" customFormat="1" x14ac:dyDescent="0.3"/>
    <row r="124" s="1" customFormat="1" x14ac:dyDescent="0.3"/>
    <row r="125" s="1" customFormat="1" x14ac:dyDescent="0.3"/>
    <row r="126" s="1" customFormat="1" x14ac:dyDescent="0.3"/>
    <row r="127" s="1" customFormat="1" x14ac:dyDescent="0.3"/>
    <row r="128" s="1" customFormat="1" x14ac:dyDescent="0.3"/>
    <row r="129" s="1" customFormat="1" x14ac:dyDescent="0.3"/>
    <row r="130" s="1" customFormat="1" x14ac:dyDescent="0.3"/>
    <row r="131" s="1" customFormat="1" x14ac:dyDescent="0.3"/>
    <row r="132" s="1" customFormat="1" x14ac:dyDescent="0.3"/>
    <row r="133" s="1" customFormat="1" x14ac:dyDescent="0.3"/>
    <row r="134" s="1" customFormat="1" x14ac:dyDescent="0.3"/>
    <row r="135" s="1" customFormat="1" x14ac:dyDescent="0.3"/>
    <row r="136" s="1" customFormat="1" x14ac:dyDescent="0.3"/>
    <row r="137" s="1" customFormat="1" x14ac:dyDescent="0.3"/>
    <row r="138" s="1" customFormat="1" x14ac:dyDescent="0.3"/>
    <row r="139" s="1" customFormat="1" x14ac:dyDescent="0.3"/>
    <row r="140" s="1" customFormat="1" x14ac:dyDescent="0.3"/>
    <row r="141" s="1" customFormat="1" x14ac:dyDescent="0.3"/>
    <row r="142" s="1" customFormat="1" x14ac:dyDescent="0.3"/>
    <row r="143" s="1" customFormat="1" x14ac:dyDescent="0.3"/>
    <row r="144" s="1" customFormat="1" x14ac:dyDescent="0.3"/>
    <row r="145" s="1" customFormat="1" x14ac:dyDescent="0.3"/>
    <row r="146" s="1" customFormat="1" x14ac:dyDescent="0.3"/>
    <row r="147" s="1" customFormat="1" x14ac:dyDescent="0.3"/>
    <row r="148" s="1" customFormat="1" x14ac:dyDescent="0.3"/>
    <row r="149" s="1" customFormat="1" x14ac:dyDescent="0.3"/>
    <row r="150" s="1" customFormat="1" x14ac:dyDescent="0.3"/>
    <row r="151" s="1" customFormat="1" x14ac:dyDescent="0.3"/>
    <row r="152" s="1" customFormat="1" x14ac:dyDescent="0.3"/>
    <row r="153" s="1" customFormat="1" x14ac:dyDescent="0.3"/>
    <row r="154" s="1" customFormat="1" x14ac:dyDescent="0.3"/>
    <row r="155" s="1" customFormat="1" x14ac:dyDescent="0.3"/>
    <row r="156" s="1" customFormat="1" x14ac:dyDescent="0.3"/>
    <row r="157" s="1" customFormat="1" x14ac:dyDescent="0.3"/>
    <row r="158" s="1" customFormat="1" x14ac:dyDescent="0.3"/>
    <row r="159" s="1" customFormat="1" x14ac:dyDescent="0.3"/>
    <row r="160" s="1" customFormat="1" x14ac:dyDescent="0.3"/>
    <row r="161" s="1" customFormat="1" x14ac:dyDescent="0.3"/>
    <row r="162" s="1" customFormat="1" x14ac:dyDescent="0.3"/>
    <row r="163" s="1" customFormat="1" x14ac:dyDescent="0.3"/>
    <row r="164" s="1" customFormat="1" x14ac:dyDescent="0.3"/>
    <row r="165" s="1" customFormat="1" x14ac:dyDescent="0.3"/>
    <row r="166" s="1" customFormat="1" x14ac:dyDescent="0.3"/>
    <row r="167" s="1" customFormat="1" x14ac:dyDescent="0.3"/>
    <row r="168" s="1" customFormat="1" x14ac:dyDescent="0.3"/>
    <row r="169" s="1" customFormat="1" x14ac:dyDescent="0.3"/>
    <row r="170" s="1" customFormat="1" x14ac:dyDescent="0.3"/>
    <row r="171" s="1" customFormat="1" x14ac:dyDescent="0.3"/>
    <row r="172" s="1" customFormat="1" x14ac:dyDescent="0.3"/>
    <row r="173" s="1" customFormat="1" x14ac:dyDescent="0.3"/>
    <row r="174" s="1" customFormat="1" x14ac:dyDescent="0.3"/>
    <row r="175" s="1" customFormat="1" x14ac:dyDescent="0.3"/>
    <row r="176" s="1" customFormat="1" x14ac:dyDescent="0.3"/>
    <row r="177" s="1" customFormat="1" x14ac:dyDescent="0.3"/>
    <row r="178" s="1" customFormat="1" x14ac:dyDescent="0.3"/>
    <row r="179" s="1" customFormat="1" x14ac:dyDescent="0.3"/>
    <row r="180" s="1" customFormat="1" x14ac:dyDescent="0.3"/>
    <row r="181" s="1" customFormat="1" x14ac:dyDescent="0.3"/>
    <row r="182" s="1" customFormat="1" x14ac:dyDescent="0.3"/>
    <row r="183" s="1" customFormat="1" x14ac:dyDescent="0.3"/>
    <row r="184" s="1" customFormat="1" x14ac:dyDescent="0.3"/>
    <row r="185" s="1" customFormat="1" x14ac:dyDescent="0.3"/>
    <row r="186" s="1" customFormat="1" x14ac:dyDescent="0.3"/>
    <row r="187" s="1" customFormat="1" x14ac:dyDescent="0.3"/>
    <row r="188" s="1" customFormat="1" x14ac:dyDescent="0.3"/>
    <row r="189" s="1" customFormat="1" x14ac:dyDescent="0.3"/>
    <row r="190" s="1" customFormat="1" x14ac:dyDescent="0.3"/>
    <row r="191" s="1" customFormat="1" x14ac:dyDescent="0.3"/>
    <row r="192" s="1" customFormat="1" x14ac:dyDescent="0.3"/>
    <row r="193" s="1" customFormat="1" x14ac:dyDescent="0.3"/>
    <row r="194" s="1" customFormat="1" x14ac:dyDescent="0.3"/>
    <row r="195" s="1" customFormat="1" x14ac:dyDescent="0.3"/>
    <row r="196" s="1" customFormat="1" x14ac:dyDescent="0.3"/>
    <row r="197" s="1" customFormat="1" x14ac:dyDescent="0.3"/>
    <row r="198" s="1" customFormat="1" x14ac:dyDescent="0.3"/>
    <row r="199" s="1" customFormat="1" x14ac:dyDescent="0.3"/>
    <row r="200" s="1" customFormat="1" x14ac:dyDescent="0.3"/>
    <row r="201" s="1" customFormat="1" x14ac:dyDescent="0.3"/>
    <row r="202" s="1" customFormat="1" x14ac:dyDescent="0.3"/>
    <row r="203" s="1" customFormat="1" x14ac:dyDescent="0.3"/>
    <row r="204" s="1" customFormat="1" x14ac:dyDescent="0.3"/>
    <row r="205" s="1" customFormat="1" x14ac:dyDescent="0.3"/>
    <row r="206" s="1" customFormat="1" x14ac:dyDescent="0.3"/>
    <row r="207" s="1" customFormat="1" x14ac:dyDescent="0.3"/>
    <row r="208" s="1" customFormat="1" x14ac:dyDescent="0.3"/>
    <row r="209" s="1" customFormat="1" x14ac:dyDescent="0.3"/>
    <row r="210" s="1" customFormat="1" x14ac:dyDescent="0.3"/>
    <row r="211" s="1" customFormat="1" x14ac:dyDescent="0.3"/>
    <row r="212" s="1" customFormat="1" x14ac:dyDescent="0.3"/>
    <row r="213" s="1" customFormat="1" x14ac:dyDescent="0.3"/>
    <row r="214" s="1" customFormat="1" x14ac:dyDescent="0.3"/>
    <row r="215" s="1" customFormat="1" x14ac:dyDescent="0.3"/>
    <row r="216" s="1" customFormat="1" x14ac:dyDescent="0.3"/>
    <row r="217" s="1" customFormat="1" x14ac:dyDescent="0.3"/>
    <row r="218" s="1" customFormat="1" x14ac:dyDescent="0.3"/>
    <row r="219" s="1" customFormat="1" x14ac:dyDescent="0.3"/>
    <row r="220" s="1" customFormat="1" x14ac:dyDescent="0.3"/>
    <row r="221" s="1" customFormat="1" x14ac:dyDescent="0.3"/>
    <row r="222" s="1" customFormat="1" x14ac:dyDescent="0.3"/>
    <row r="223" s="1" customFormat="1" x14ac:dyDescent="0.3"/>
    <row r="224" s="1" customFormat="1" x14ac:dyDescent="0.3"/>
    <row r="225" s="1" customFormat="1"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F371B-E34B-4EC9-8B17-BAD9C3978F74}">
  <sheetPr codeName="Sheet4"/>
  <dimension ref="A1:M1"/>
  <sheetViews>
    <sheetView workbookViewId="0"/>
  </sheetViews>
  <sheetFormatPr defaultColWidth="9.109375" defaultRowHeight="13.8" x14ac:dyDescent="0.3"/>
  <cols>
    <col min="1" max="1" width="11" style="1" bestFit="1" customWidth="1"/>
    <col min="2" max="2" width="22.88671875" style="1" bestFit="1" customWidth="1"/>
    <col min="3" max="3" width="12.6640625" style="1" bestFit="1" customWidth="1"/>
    <col min="4" max="4" width="19.6640625" style="1" bestFit="1" customWidth="1"/>
    <col min="5" max="5" width="11.88671875" style="1" bestFit="1" customWidth="1"/>
    <col min="6" max="6" width="12.109375" style="1" bestFit="1" customWidth="1"/>
    <col min="7" max="7" width="14.5546875" style="71" bestFit="1" customWidth="1"/>
    <col min="8" max="8" width="26.88671875" style="1" bestFit="1" customWidth="1"/>
    <col min="9" max="9" width="22.33203125" style="71" bestFit="1" customWidth="1"/>
    <col min="10" max="10" width="14.33203125" style="71" bestFit="1" customWidth="1"/>
    <col min="11" max="11" width="16.88671875" style="71" bestFit="1" customWidth="1"/>
    <col min="12" max="12" width="24.33203125" style="1" bestFit="1" customWidth="1"/>
    <col min="13" max="13" width="12.44140625" style="1" bestFit="1" customWidth="1"/>
    <col min="14" max="16384" width="9.109375" style="1"/>
  </cols>
  <sheetData>
    <row r="1" spans="1:13" x14ac:dyDescent="0.3">
      <c r="A1" s="66" t="s">
        <v>160</v>
      </c>
      <c r="B1" s="67" t="s">
        <v>161</v>
      </c>
      <c r="C1" s="68" t="s">
        <v>162</v>
      </c>
      <c r="D1" s="68" t="s">
        <v>152</v>
      </c>
      <c r="E1" s="68" t="s">
        <v>163</v>
      </c>
      <c r="F1" s="68" t="s">
        <v>149</v>
      </c>
      <c r="G1" s="69" t="s">
        <v>164</v>
      </c>
      <c r="H1" s="68" t="s">
        <v>165</v>
      </c>
      <c r="I1" s="69" t="s">
        <v>166</v>
      </c>
      <c r="J1" s="69" t="s">
        <v>167</v>
      </c>
      <c r="K1" s="69" t="s">
        <v>168</v>
      </c>
      <c r="L1" s="68" t="s">
        <v>169</v>
      </c>
      <c r="M1" s="70" t="s">
        <v>170</v>
      </c>
    </row>
  </sheetData>
  <conditionalFormatting sqref="A1:B1">
    <cfRule type="duplicateValues" dxfId="7" priority="8" stopIfTrue="1"/>
  </conditionalFormatting>
  <conditionalFormatting sqref="C1">
    <cfRule type="duplicateValues" dxfId="6" priority="7" stopIfTrue="1"/>
  </conditionalFormatting>
  <conditionalFormatting sqref="D1:E1">
    <cfRule type="duplicateValues" dxfId="5" priority="6" stopIfTrue="1"/>
  </conditionalFormatting>
  <conditionalFormatting sqref="F1">
    <cfRule type="duplicateValues" dxfId="4" priority="5" stopIfTrue="1"/>
  </conditionalFormatting>
  <conditionalFormatting sqref="G1">
    <cfRule type="duplicateValues" dxfId="3" priority="4" stopIfTrue="1"/>
  </conditionalFormatting>
  <conditionalFormatting sqref="H1">
    <cfRule type="duplicateValues" dxfId="2" priority="3" stopIfTrue="1"/>
  </conditionalFormatting>
  <conditionalFormatting sqref="I1">
    <cfRule type="duplicateValues" dxfId="1" priority="2" stopIfTrue="1"/>
  </conditionalFormatting>
  <conditionalFormatting sqref="J1:M1">
    <cfRule type="duplicateValues" dxfId="0" priority="1" stopIfTrue="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Rating</vt:lpstr>
      <vt:lpstr>Checklist</vt:lpstr>
      <vt:lpstr>KAF</vt:lpstr>
      <vt:lpstr>Vehicle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Hariom Sharma</dc:creator>
  <cp:lastModifiedBy>Rachit Goyal</cp:lastModifiedBy>
  <dcterms:created xsi:type="dcterms:W3CDTF">2026-03-12T14:54:15Z</dcterms:created>
  <dcterms:modified xsi:type="dcterms:W3CDTF">2026-06-27T09:37:25Z</dcterms:modified>
</cp:coreProperties>
</file>