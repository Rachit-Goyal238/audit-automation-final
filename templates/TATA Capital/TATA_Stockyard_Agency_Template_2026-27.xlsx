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achit Goyal\Downloads\audit-automation-final\templates\TATA Capital\"/>
    </mc:Choice>
  </mc:AlternateContent>
  <xr:revisionPtr revIDLastSave="0" documentId="13_ncr:1_{CE717224-2C0A-4275-84D7-18913E7DA024}" xr6:coauthVersionLast="47" xr6:coauthVersionMax="47" xr10:uidLastSave="{00000000-0000-0000-0000-000000000000}"/>
  <bookViews>
    <workbookView xWindow="-108" yWindow="-108" windowWidth="23256" windowHeight="12456" xr2:uid="{00000000-000D-0000-FFFF-FFFF00000000}"/>
  </bookViews>
  <sheets>
    <sheet name="Checklist" sheetId="8" r:id="rId1"/>
    <sheet name="Score Parameters" sheetId="5" r:id="rId2"/>
    <sheet name="Annexure" sheetId="10" r:id="rId3"/>
    <sheet name="Supporting" sheetId="9" state="hidden" r:id="rId4"/>
  </sheets>
  <definedNames>
    <definedName name="_xlnm._FilterDatabase" localSheetId="2" hidden="1">Annexure!$A$1:$O$1</definedName>
    <definedName name="_xlnm._FilterDatabase" localSheetId="0" hidden="1">Checklist!$A$7:$J$42</definedName>
    <definedName name="_xlnm._FilterDatabase" localSheetId="1" hidden="1">'Score Parameters'!$A$1:$E$7</definedName>
    <definedName name="_xlnm.Print_Titles" localSheetId="3">Supporting!$1:$1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5" l="1"/>
  <c r="B4" i="5"/>
  <c r="B3" i="5"/>
  <c r="B2" i="5"/>
  <c r="E35" i="8" l="1"/>
  <c r="E30" i="8"/>
  <c r="E22" i="8"/>
  <c r="E11" i="8" l="1"/>
  <c r="E10" i="8"/>
  <c r="E34" i="8"/>
  <c r="E33" i="8"/>
  <c r="E42" i="8"/>
  <c r="E41" i="8"/>
  <c r="E38" i="8"/>
  <c r="E37" i="8"/>
  <c r="E36" i="8"/>
  <c r="D4" i="5" s="1"/>
  <c r="E32" i="8"/>
  <c r="E31" i="8"/>
  <c r="E29" i="8"/>
  <c r="E28" i="8"/>
  <c r="E26" i="8"/>
  <c r="E25" i="8"/>
  <c r="E24" i="8"/>
  <c r="E23" i="8"/>
  <c r="E21" i="8"/>
  <c r="E20" i="8"/>
  <c r="E19" i="8"/>
  <c r="E18" i="8"/>
  <c r="E17" i="8"/>
  <c r="E16" i="8"/>
  <c r="E15" i="8"/>
  <c r="E14" i="8"/>
  <c r="E13" i="8"/>
  <c r="E12" i="8"/>
  <c r="E9" i="8"/>
  <c r="E8" i="8"/>
  <c r="D2" i="5" l="1"/>
  <c r="D3" i="5"/>
  <c r="D5" i="5"/>
  <c r="C6" i="5"/>
  <c r="B6" i="5"/>
  <c r="E5" i="5" l="1"/>
  <c r="E3" i="5"/>
  <c r="E4" i="5"/>
  <c r="D6" i="5" l="1"/>
  <c r="E2" i="5"/>
  <c r="E6" i="5" l="1"/>
  <c r="E7" i="5" s="1"/>
</calcChain>
</file>

<file path=xl/sharedStrings.xml><?xml version="1.0" encoding="utf-8"?>
<sst xmlns="http://schemas.openxmlformats.org/spreadsheetml/2006/main" count="198" uniqueCount="93">
  <si>
    <t>Proposed category</t>
  </si>
  <si>
    <t>Infrastructure</t>
  </si>
  <si>
    <t>Whether yard surface is hard? (It should not be mud base surface to prevent muddiness)</t>
  </si>
  <si>
    <t>Do all the yard have updated list of valuers with specimen signatures and photographs attested?</t>
  </si>
  <si>
    <t>Stock verification</t>
  </si>
  <si>
    <t>Has the yard physical stock tallied with the stock register (as on the date of visit by auditors)?</t>
  </si>
  <si>
    <t>Any other comment which Auditor wants to give</t>
  </si>
  <si>
    <t>Whether full cooperation was received from yard for completing audit?</t>
  </si>
  <si>
    <t>Observation</t>
  </si>
  <si>
    <t>Final Score</t>
  </si>
  <si>
    <t>Yes</t>
  </si>
  <si>
    <t>Weightage</t>
  </si>
  <si>
    <t>Actual</t>
  </si>
  <si>
    <t>Percentage</t>
  </si>
  <si>
    <t>FINAL RATING</t>
  </si>
  <si>
    <t>Yard Name</t>
  </si>
  <si>
    <t>Yard Manager</t>
  </si>
  <si>
    <t>Collection Manager</t>
  </si>
  <si>
    <t>Yard Location</t>
  </si>
  <si>
    <t>Yard Address</t>
  </si>
  <si>
    <t>Audit Date</t>
  </si>
  <si>
    <t>Stock Maintenance &amp; other</t>
  </si>
  <si>
    <t>Grand Total</t>
  </si>
  <si>
    <t xml:space="preserve">Key Points </t>
  </si>
  <si>
    <t>Key Points Measured</t>
  </si>
  <si>
    <t>A</t>
  </si>
  <si>
    <t>&gt;=80</t>
  </si>
  <si>
    <t>B</t>
  </si>
  <si>
    <t>&gt;=70 and &lt;=79</t>
  </si>
  <si>
    <t>C</t>
  </si>
  <si>
    <t>D</t>
  </si>
  <si>
    <t>&gt;=50 and &lt;=59</t>
  </si>
  <si>
    <t>E</t>
  </si>
  <si>
    <t>&lt;=49</t>
  </si>
  <si>
    <t>Rating</t>
  </si>
  <si>
    <t>Scoring Segmentation</t>
  </si>
  <si>
    <t>Whether all release letters, inventory copies are properly filled and maintained at stockyard?</t>
  </si>
  <si>
    <t>Whether parked vehicles in the stockyard are insured and protected against damage occurred by Natural calamities, theft and fire? Whether stockyard insurance policy is live and periodically renewed? (To safeguard our parked vehicles)</t>
  </si>
  <si>
    <t>Whether Yard is covered by all sides and has proper security measures?</t>
  </si>
  <si>
    <t>Whether stockyard CCTV camera records all necessary angels of the yard?</t>
  </si>
  <si>
    <t>Weather yard has proper inverter/ups backups for emergency and power failure?</t>
  </si>
  <si>
    <t>Record Maintenance and Pasted identifier</t>
  </si>
  <si>
    <t>Whether fire extinguisher are available and are in working condition?</t>
  </si>
  <si>
    <t>To sample check basis: To check the validity of the asset release letter, it should be the same day as mentioned in the release letter or within TAT.</t>
  </si>
  <si>
    <t>Only Observation</t>
  </si>
  <si>
    <t xml:space="preserve">Whether yard covered with appropriate lighting with maintained wiring? </t>
  </si>
  <si>
    <t>Whether Yard premises are used for residential purpose or any other business activities like manufacturing, garage workshop, office etc.?</t>
  </si>
  <si>
    <t>Whether the asset stays at yard for more than 90 days? (as per Policy) (how many such instances found during Audit)</t>
  </si>
  <si>
    <t xml:space="preserve">Whether visitor register is available at stockyard? Whether Asset inspection executive and valuer entry recorded in the visit register at the time of asset inspection by the dealer/customer? </t>
  </si>
  <si>
    <t>Whether Physical asset condition matched with the inventory sheet at yard?</t>
  </si>
  <si>
    <t>Whether the yard has a small office with PC and internet connection,  key board for storing the keys?</t>
  </si>
  <si>
    <t>Whether yard is covered by proper shed? (especially two wheelers)</t>
  </si>
  <si>
    <t>Whether Original KYC document with Aadhaar masking has been verified by yard Manager while releasing/sold of an asset?</t>
  </si>
  <si>
    <t>Whether valid yard agreement is available at yard(Non MFC)?</t>
  </si>
  <si>
    <t>&gt;=60 and &lt;=69</t>
  </si>
  <si>
    <t>Whether acknowledgment taken from the customer on release letter while releasing the asset from yard? Also check whether KYC details like Aadhaar no/Pan No/Any other Govt Issued ID card details mentioned on Release letter?</t>
  </si>
  <si>
    <t>Subparameter</t>
  </si>
  <si>
    <t>Parameter</t>
  </si>
  <si>
    <t>Whether Yard has name board?</t>
  </si>
  <si>
    <t>Whether updated TCL authorised signatory list available in yard?</t>
  </si>
  <si>
    <t>Whether any assets is parked in yard without valid TCL inventory sheet and released without valid release letter?</t>
  </si>
  <si>
    <t>Sr. No.</t>
  </si>
  <si>
    <t xml:space="preserve"> Whether signature of CM/CCM on the release letter gets validated with the Authorized signature specimen list of Collection need to be vetted by yard manager? Check whether vehicle has been release to the same person whose name is mentioned in the release letter, no third party letter other than TCL release letter to be accepted while releasing the assets.</t>
  </si>
  <si>
    <t>Whether yard have enough space for storage of TCL vehicles?</t>
  </si>
  <si>
    <t xml:space="preserve">Has all inward and outward entry of the assets is properly recorded with date and time in separate register maintained for TCL without cutting/ overwriting on it? </t>
  </si>
  <si>
    <t xml:space="preserve">Whether Yard Manager pasted an identifier on the TCL asset containing all necessary requirements? </t>
  </si>
  <si>
    <t>Has the yard manager taken custody of the TCL assets keys and kept them separately in safe custody?</t>
  </si>
  <si>
    <t>Whether the yard manager doing proper maintenance (cleaning/ washing) of the TCL assets till the time asset parked at yard?</t>
  </si>
  <si>
    <t>Whether all asset of TCL is parked in stockyard as one complete lot or group? (It should not be scattered or at random parking with other company’s asset)</t>
  </si>
  <si>
    <t xml:space="preserve">Whether billing to customer has been charged as per defined agreement? </t>
  </si>
  <si>
    <t>Type of Audit</t>
  </si>
  <si>
    <t>Stockyard</t>
  </si>
  <si>
    <t xml:space="preserve">Whether CCTV footage maintained at the Stockyard? (To have at least backup for more than 30 days) </t>
  </si>
  <si>
    <t xml:space="preserve">Whether monthly visit conducted in a yard by collection manager </t>
  </si>
  <si>
    <t>Auditor Name</t>
  </si>
  <si>
    <t>Closing Meeting Comments</t>
  </si>
  <si>
    <t>Pending Status
(Open/ Closed)</t>
  </si>
  <si>
    <t>Timelines for 
Non-Closure Point</t>
  </si>
  <si>
    <t>Compliance status
 (Yes / No)</t>
  </si>
  <si>
    <t>Loan No.</t>
  </si>
  <si>
    <t>Customer Name</t>
  </si>
  <si>
    <t>Repo Date</t>
  </si>
  <si>
    <t>CM Code</t>
  </si>
  <si>
    <t>CM</t>
  </si>
  <si>
    <t>CCM Code</t>
  </si>
  <si>
    <t>CCM</t>
  </si>
  <si>
    <t>RCM Code</t>
  </si>
  <si>
    <t>RCM</t>
  </si>
  <si>
    <t>ZCM Code</t>
  </si>
  <si>
    <t>ZCM</t>
  </si>
  <si>
    <t>NCM Code</t>
  </si>
  <si>
    <t>NCM</t>
  </si>
  <si>
    <t>Repokit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</si>
</sst>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2" x14ac:knownFonts="1">
    <font>
      <sz val="11"/>
      <color theme="1"/>
      <name val="Calibri"/>
      <family val="2"/>
      <scheme val="minor"/>
    </font>
    <font>
      <sz val="11"/>
      <color theme="1"/>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
      <sz val="9"/>
      <color rgb="FF000000"/>
      <name val="Calibri"/>
      <family val="2"/>
      <scheme val="minor"/>
    </font>
    <font>
      <b/>
      <sz val="10"/>
      <color theme="0"/>
      <name val="Calibri"/>
      <family val="2"/>
      <scheme val="minor"/>
    </font>
    <font>
      <sz val="10"/>
      <color theme="1"/>
      <name val="Calibri"/>
      <family val="2"/>
      <scheme val="minor"/>
    </font>
    <font>
      <b/>
      <sz val="10"/>
      <color theme="3" tint="-0.499984740745262"/>
      <name val="Calibri"/>
      <family val="2"/>
      <scheme val="minor"/>
    </font>
    <font>
      <sz val="10"/>
      <name val="Calibri"/>
      <family val="2"/>
      <scheme val="minor"/>
    </font>
    <font>
      <sz val="10"/>
      <color theme="3" tint="-0.499984740745262"/>
      <name val="Calibri"/>
      <family val="2"/>
      <scheme val="minor"/>
    </font>
    <font>
      <b/>
      <sz val="10"/>
      <color theme="1"/>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40">
    <xf numFmtId="0" fontId="0" fillId="0" borderId="0" xfId="0"/>
    <xf numFmtId="0" fontId="2"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4" borderId="1" xfId="0" applyFont="1" applyFill="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164" fontId="2" fillId="0" borderId="1" xfId="2" applyNumberFormat="1" applyFont="1" applyFill="1" applyBorder="1" applyAlignment="1">
      <alignment vertical="top" wrapText="1"/>
    </xf>
    <xf numFmtId="0" fontId="2" fillId="0" borderId="1" xfId="0" applyFont="1" applyBorder="1" applyAlignment="1">
      <alignment horizontal="center"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164" fontId="2" fillId="0" borderId="1" xfId="2" applyNumberFormat="1" applyFont="1" applyFill="1" applyBorder="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horizontal="left" vertical="top" wrapText="1"/>
    </xf>
    <xf numFmtId="0" fontId="7" fillId="0" borderId="0" xfId="0" applyFont="1"/>
    <xf numFmtId="0" fontId="7" fillId="0" borderId="1" xfId="0" applyFont="1" applyBorder="1" applyAlignment="1">
      <alignment horizont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xf>
    <xf numFmtId="0" fontId="7" fillId="0" borderId="0" xfId="0" applyFont="1" applyAlignment="1">
      <alignment horizontal="center"/>
    </xf>
    <xf numFmtId="0" fontId="9" fillId="5" borderId="1" xfId="0" applyFont="1" applyFill="1" applyBorder="1" applyAlignment="1">
      <alignment horizontal="center"/>
    </xf>
    <xf numFmtId="0" fontId="9" fillId="6" borderId="1" xfId="0" applyFont="1" applyFill="1" applyBorder="1" applyAlignment="1">
      <alignment horizontal="center"/>
    </xf>
    <xf numFmtId="0" fontId="9" fillId="7" borderId="1" xfId="0" applyFont="1" applyFill="1" applyBorder="1" applyAlignment="1">
      <alignment horizontal="center"/>
    </xf>
    <xf numFmtId="0" fontId="9" fillId="8" borderId="1" xfId="0" applyFont="1" applyFill="1" applyBorder="1" applyAlignment="1">
      <alignment horizontal="center"/>
    </xf>
    <xf numFmtId="0" fontId="9" fillId="9" borderId="1" xfId="0" applyFont="1" applyFill="1" applyBorder="1" applyAlignment="1">
      <alignment horizontal="center"/>
    </xf>
    <xf numFmtId="0" fontId="10" fillId="0" borderId="1" xfId="0" applyFont="1" applyBorder="1" applyAlignment="1">
      <alignment horizontal="center"/>
    </xf>
    <xf numFmtId="1" fontId="10" fillId="0" borderId="1" xfId="0" applyNumberFormat="1" applyFont="1" applyBorder="1" applyAlignment="1">
      <alignment horizontal="center"/>
    </xf>
    <xf numFmtId="0" fontId="6" fillId="4" borderId="1" xfId="0" applyFont="1" applyFill="1" applyBorder="1" applyAlignment="1">
      <alignment horizontal="left" vertical="center" wrapText="1"/>
    </xf>
    <xf numFmtId="0" fontId="7" fillId="0" borderId="1" xfId="0" applyFont="1" applyBorder="1" applyAlignment="1">
      <alignment horizontal="left"/>
    </xf>
    <xf numFmtId="9" fontId="8" fillId="0" borderId="1" xfId="1" applyFont="1" applyFill="1" applyBorder="1" applyAlignment="1">
      <alignment horizontal="center"/>
    </xf>
    <xf numFmtId="9" fontId="8" fillId="2" borderId="1" xfId="1" applyFont="1" applyFill="1" applyBorder="1" applyAlignment="1">
      <alignment horizontal="center" wrapText="1"/>
    </xf>
    <xf numFmtId="0" fontId="7" fillId="0" borderId="0" xfId="0" applyFont="1" applyAlignment="1">
      <alignment horizontal="left" vertical="center"/>
    </xf>
    <xf numFmtId="0" fontId="6" fillId="4" borderId="0" xfId="0" applyFont="1" applyFill="1" applyAlignment="1">
      <alignment horizontal="left" vertical="center"/>
    </xf>
    <xf numFmtId="0" fontId="11" fillId="10" borderId="1" xfId="0" applyFont="1" applyFill="1" applyBorder="1" applyAlignment="1">
      <alignment horizontal="left" vertical="center"/>
    </xf>
    <xf numFmtId="15" fontId="11" fillId="10" borderId="1" xfId="0" applyNumberFormat="1" applyFont="1" applyFill="1" applyBorder="1" applyAlignment="1">
      <alignment horizontal="left" vertical="center"/>
    </xf>
    <xf numFmtId="0" fontId="0" fillId="0" borderId="1" xfId="0" applyBorder="1"/>
    <xf numFmtId="0" fontId="0" fillId="0" borderId="0" xfId="0" applyAlignment="1">
      <alignment wrapText="1"/>
    </xf>
    <xf numFmtId="0" fontId="6" fillId="4" borderId="1" xfId="0" applyFont="1" applyFill="1" applyBorder="1" applyAlignment="1">
      <alignment horizontal="center" vertical="center" wrapText="1"/>
    </xf>
  </cellXfs>
  <cellStyles count="3">
    <cellStyle name="Comma" xfId="2" builtinId="3"/>
    <cellStyle name="Normal" xfId="0" builtinId="0"/>
    <cellStyle name="Percent" xfId="1" builtinId="5"/>
  </cellStyles>
  <dxfs count="5">
    <dxf>
      <fill>
        <patternFill>
          <bgColor rgb="FFFF2F2F"/>
        </patternFill>
      </fill>
    </dxf>
    <dxf>
      <fill>
        <patternFill>
          <bgColor rgb="FFFFC91D"/>
        </patternFill>
      </fill>
    </dxf>
    <dxf>
      <fill>
        <patternFill>
          <bgColor rgb="FFA4D76B"/>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J42"/>
  <sheetViews>
    <sheetView showGridLines="0" tabSelected="1" topLeftCell="A2" zoomScaleNormal="100" workbookViewId="0">
      <selection activeCell="B5" sqref="B5"/>
    </sheetView>
  </sheetViews>
  <sheetFormatPr defaultColWidth="46" defaultRowHeight="12" x14ac:dyDescent="0.3"/>
  <cols>
    <col min="1" max="1" width="5.6640625" style="1" bestFit="1" customWidth="1"/>
    <col min="2" max="2" width="15.88671875" style="1" bestFit="1" customWidth="1"/>
    <col min="3" max="3" width="17.88671875" style="1" bestFit="1" customWidth="1"/>
    <col min="4" max="4" width="38.44140625" style="1" customWidth="1"/>
    <col min="5" max="5" width="11" style="3" hidden="1" customWidth="1"/>
    <col min="6" max="6" width="18.5546875" style="1" bestFit="1" customWidth="1"/>
    <col min="7" max="7" width="34.88671875" style="1" customWidth="1"/>
    <col min="8" max="8" width="33.88671875" style="1" customWidth="1"/>
    <col min="9" max="9" width="11.5546875" style="1" bestFit="1" customWidth="1"/>
    <col min="10" max="10" width="13.6640625" style="1" bestFit="1" customWidth="1"/>
    <col min="11" max="16384" width="46" style="1"/>
  </cols>
  <sheetData>
    <row r="2" spans="1:10" ht="39.9" customHeight="1" x14ac:dyDescent="0.3">
      <c r="B2" s="38"/>
      <c r="C2" s="5" t="s">
        <v>15</v>
      </c>
      <c r="D2" s="9"/>
      <c r="E2" s="15"/>
      <c r="F2" s="5" t="s">
        <v>74</v>
      </c>
      <c r="G2" s="9"/>
    </row>
    <row r="3" spans="1:10" ht="39.9" customHeight="1" x14ac:dyDescent="0.3">
      <c r="B3" s="38"/>
      <c r="C3" s="5" t="s">
        <v>16</v>
      </c>
      <c r="D3" s="9"/>
      <c r="E3" s="15"/>
      <c r="F3" s="5" t="s">
        <v>18</v>
      </c>
      <c r="G3" s="9"/>
    </row>
    <row r="4" spans="1:10" ht="39.9" customHeight="1" x14ac:dyDescent="0.3">
      <c r="B4" s="38"/>
      <c r="C4" s="5" t="s">
        <v>17</v>
      </c>
      <c r="D4" s="9"/>
      <c r="E4" s="15"/>
      <c r="F4" s="5" t="s">
        <v>19</v>
      </c>
      <c r="G4" s="9"/>
    </row>
    <row r="5" spans="1:10" ht="39.9" customHeight="1" x14ac:dyDescent="0.3">
      <c r="B5" s="38"/>
      <c r="C5" s="5" t="s">
        <v>70</v>
      </c>
      <c r="D5" s="9" t="s">
        <v>71</v>
      </c>
      <c r="E5" s="15"/>
      <c r="F5" s="5" t="s">
        <v>20</v>
      </c>
      <c r="G5" s="16"/>
    </row>
    <row r="7" spans="1:10" s="2" customFormat="1" ht="24" x14ac:dyDescent="0.3">
      <c r="A7" s="4" t="s">
        <v>61</v>
      </c>
      <c r="B7" s="5" t="s">
        <v>57</v>
      </c>
      <c r="C7" s="5" t="s">
        <v>0</v>
      </c>
      <c r="D7" s="5" t="s">
        <v>56</v>
      </c>
      <c r="E7" s="6" t="s">
        <v>9</v>
      </c>
      <c r="F7" s="4" t="s">
        <v>78</v>
      </c>
      <c r="G7" s="5" t="s">
        <v>8</v>
      </c>
      <c r="H7" s="5" t="s">
        <v>75</v>
      </c>
      <c r="I7" s="4" t="s">
        <v>76</v>
      </c>
      <c r="J7" s="4" t="s">
        <v>77</v>
      </c>
    </row>
    <row r="8" spans="1:10" ht="90" customHeight="1" x14ac:dyDescent="0.3">
      <c r="A8" s="7">
        <v>1</v>
      </c>
      <c r="B8" s="8" t="s">
        <v>1</v>
      </c>
      <c r="C8" s="8" t="s">
        <v>1</v>
      </c>
      <c r="D8" s="9" t="s">
        <v>38</v>
      </c>
      <c r="E8" s="10">
        <f>IF(F8="Yes",2,"0")</f>
        <v>2</v>
      </c>
      <c r="F8" s="11" t="s">
        <v>10</v>
      </c>
      <c r="G8" s="9"/>
      <c r="H8" s="9"/>
      <c r="I8" s="9"/>
      <c r="J8" s="9"/>
    </row>
    <row r="9" spans="1:10" ht="90" customHeight="1" x14ac:dyDescent="0.3">
      <c r="A9" s="7">
        <v>2</v>
      </c>
      <c r="B9" s="8" t="s">
        <v>1</v>
      </c>
      <c r="C9" s="8" t="s">
        <v>1</v>
      </c>
      <c r="D9" s="9" t="s">
        <v>58</v>
      </c>
      <c r="E9" s="10">
        <f>IF(F9="Yes",2,"0")</f>
        <v>2</v>
      </c>
      <c r="F9" s="11" t="s">
        <v>10</v>
      </c>
      <c r="G9" s="9"/>
      <c r="H9" s="9"/>
      <c r="I9" s="9"/>
      <c r="J9" s="9"/>
    </row>
    <row r="10" spans="1:10" ht="90" customHeight="1" x14ac:dyDescent="0.3">
      <c r="A10" s="7">
        <v>3</v>
      </c>
      <c r="B10" s="8" t="s">
        <v>1</v>
      </c>
      <c r="C10" s="8" t="s">
        <v>1</v>
      </c>
      <c r="D10" s="8" t="s">
        <v>39</v>
      </c>
      <c r="E10" s="10">
        <f>IF(F10="Yes",4,"0")</f>
        <v>4</v>
      </c>
      <c r="F10" s="11" t="s">
        <v>10</v>
      </c>
      <c r="G10" s="9"/>
      <c r="H10" s="9"/>
      <c r="I10" s="9"/>
      <c r="J10" s="9"/>
    </row>
    <row r="11" spans="1:10" ht="90" customHeight="1" x14ac:dyDescent="0.3">
      <c r="A11" s="7">
        <v>4</v>
      </c>
      <c r="B11" s="8" t="s">
        <v>1</v>
      </c>
      <c r="C11" s="8" t="s">
        <v>1</v>
      </c>
      <c r="D11" s="8" t="s">
        <v>72</v>
      </c>
      <c r="E11" s="10">
        <f>IF(F11="Yes",4,"0")</f>
        <v>4</v>
      </c>
      <c r="F11" s="11" t="s">
        <v>10</v>
      </c>
      <c r="G11" s="9"/>
      <c r="H11" s="9"/>
      <c r="I11" s="9"/>
      <c r="J11" s="9"/>
    </row>
    <row r="12" spans="1:10" ht="90" customHeight="1" x14ac:dyDescent="0.3">
      <c r="A12" s="7">
        <v>5</v>
      </c>
      <c r="B12" s="8" t="s">
        <v>1</v>
      </c>
      <c r="C12" s="8" t="s">
        <v>1</v>
      </c>
      <c r="D12" s="8" t="s">
        <v>45</v>
      </c>
      <c r="E12" s="10">
        <f>IF(F12="Yes",2,"0")</f>
        <v>2</v>
      </c>
      <c r="F12" s="11" t="s">
        <v>10</v>
      </c>
      <c r="G12" s="9"/>
      <c r="H12" s="9"/>
      <c r="I12" s="9"/>
      <c r="J12" s="9"/>
    </row>
    <row r="13" spans="1:10" ht="90" customHeight="1" x14ac:dyDescent="0.3">
      <c r="A13" s="7">
        <v>6</v>
      </c>
      <c r="B13" s="8" t="s">
        <v>1</v>
      </c>
      <c r="C13" s="8" t="s">
        <v>1</v>
      </c>
      <c r="D13" s="12" t="s">
        <v>51</v>
      </c>
      <c r="E13" s="10">
        <f>IF(F13="Yes",3,"0")</f>
        <v>3</v>
      </c>
      <c r="F13" s="11" t="s">
        <v>10</v>
      </c>
      <c r="G13" s="9"/>
      <c r="H13" s="9"/>
      <c r="I13" s="9"/>
      <c r="J13" s="9"/>
    </row>
    <row r="14" spans="1:10" ht="90" customHeight="1" x14ac:dyDescent="0.3">
      <c r="A14" s="7">
        <v>7</v>
      </c>
      <c r="B14" s="8" t="s">
        <v>1</v>
      </c>
      <c r="C14" s="8" t="s">
        <v>1</v>
      </c>
      <c r="D14" s="12" t="s">
        <v>2</v>
      </c>
      <c r="E14" s="10">
        <f t="shared" ref="E14:E20" si="0">IF(F14="Yes",2,"0")</f>
        <v>2</v>
      </c>
      <c r="F14" s="11" t="s">
        <v>10</v>
      </c>
      <c r="G14" s="9"/>
      <c r="H14" s="9"/>
      <c r="I14" s="9"/>
      <c r="J14" s="9"/>
    </row>
    <row r="15" spans="1:10" ht="90" customHeight="1" x14ac:dyDescent="0.3">
      <c r="A15" s="7">
        <v>8</v>
      </c>
      <c r="B15" s="8" t="s">
        <v>1</v>
      </c>
      <c r="C15" s="8" t="s">
        <v>1</v>
      </c>
      <c r="D15" s="12" t="s">
        <v>63</v>
      </c>
      <c r="E15" s="10">
        <f t="shared" si="0"/>
        <v>2</v>
      </c>
      <c r="F15" s="11" t="s">
        <v>10</v>
      </c>
      <c r="G15" s="9"/>
      <c r="H15" s="9"/>
      <c r="I15" s="9"/>
      <c r="J15" s="9"/>
    </row>
    <row r="16" spans="1:10" ht="90" customHeight="1" x14ac:dyDescent="0.3">
      <c r="A16" s="7">
        <v>9</v>
      </c>
      <c r="B16" s="8" t="s">
        <v>1</v>
      </c>
      <c r="C16" s="8" t="s">
        <v>1</v>
      </c>
      <c r="D16" s="12" t="s">
        <v>40</v>
      </c>
      <c r="E16" s="10">
        <f t="shared" si="0"/>
        <v>2</v>
      </c>
      <c r="F16" s="11" t="s">
        <v>10</v>
      </c>
      <c r="G16" s="9"/>
      <c r="H16" s="9"/>
      <c r="I16" s="9"/>
      <c r="J16" s="9"/>
    </row>
    <row r="17" spans="1:10" ht="90" customHeight="1" x14ac:dyDescent="0.3">
      <c r="A17" s="7">
        <v>10</v>
      </c>
      <c r="B17" s="8" t="s">
        <v>1</v>
      </c>
      <c r="C17" s="8" t="s">
        <v>1</v>
      </c>
      <c r="D17" s="13" t="s">
        <v>50</v>
      </c>
      <c r="E17" s="10">
        <f t="shared" si="0"/>
        <v>2</v>
      </c>
      <c r="F17" s="11" t="s">
        <v>10</v>
      </c>
      <c r="G17" s="9"/>
      <c r="H17" s="9"/>
      <c r="I17" s="9"/>
      <c r="J17" s="9"/>
    </row>
    <row r="18" spans="1:10" ht="90" customHeight="1" x14ac:dyDescent="0.3">
      <c r="A18" s="7">
        <v>11</v>
      </c>
      <c r="B18" s="8" t="s">
        <v>1</v>
      </c>
      <c r="C18" s="8" t="s">
        <v>1</v>
      </c>
      <c r="D18" s="8" t="s">
        <v>37</v>
      </c>
      <c r="E18" s="10">
        <f t="shared" si="0"/>
        <v>2</v>
      </c>
      <c r="F18" s="11" t="s">
        <v>10</v>
      </c>
      <c r="G18" s="9"/>
      <c r="H18" s="9"/>
      <c r="I18" s="9"/>
      <c r="J18" s="9"/>
    </row>
    <row r="19" spans="1:10" ht="90" customHeight="1" x14ac:dyDescent="0.3">
      <c r="A19" s="7">
        <v>12</v>
      </c>
      <c r="B19" s="8" t="s">
        <v>1</v>
      </c>
      <c r="C19" s="8" t="s">
        <v>1</v>
      </c>
      <c r="D19" s="9" t="s">
        <v>46</v>
      </c>
      <c r="E19" s="10">
        <f t="shared" si="0"/>
        <v>2</v>
      </c>
      <c r="F19" s="11" t="s">
        <v>10</v>
      </c>
      <c r="G19" s="9"/>
      <c r="H19" s="9"/>
      <c r="I19" s="9"/>
      <c r="J19" s="9"/>
    </row>
    <row r="20" spans="1:10" ht="90" customHeight="1" x14ac:dyDescent="0.3">
      <c r="A20" s="7">
        <v>13</v>
      </c>
      <c r="B20" s="8" t="s">
        <v>1</v>
      </c>
      <c r="C20" s="8" t="s">
        <v>1</v>
      </c>
      <c r="D20" s="9" t="s">
        <v>42</v>
      </c>
      <c r="E20" s="10">
        <f t="shared" si="0"/>
        <v>2</v>
      </c>
      <c r="F20" s="11" t="s">
        <v>10</v>
      </c>
      <c r="G20" s="9"/>
      <c r="H20" s="9"/>
      <c r="I20" s="9"/>
      <c r="J20" s="9"/>
    </row>
    <row r="21" spans="1:10" ht="90" customHeight="1" x14ac:dyDescent="0.3">
      <c r="A21" s="7">
        <v>14</v>
      </c>
      <c r="B21" s="8" t="s">
        <v>41</v>
      </c>
      <c r="C21" s="9" t="s">
        <v>41</v>
      </c>
      <c r="D21" s="13" t="s">
        <v>64</v>
      </c>
      <c r="E21" s="10">
        <f>IF(F21="Yes",3,"0")</f>
        <v>3</v>
      </c>
      <c r="F21" s="11" t="s">
        <v>10</v>
      </c>
      <c r="G21" s="9"/>
      <c r="H21" s="9"/>
      <c r="I21" s="9"/>
      <c r="J21" s="9"/>
    </row>
    <row r="22" spans="1:10" ht="90" customHeight="1" x14ac:dyDescent="0.3">
      <c r="A22" s="7">
        <v>15</v>
      </c>
      <c r="B22" s="8" t="s">
        <v>41</v>
      </c>
      <c r="C22" s="9" t="s">
        <v>41</v>
      </c>
      <c r="D22" s="13" t="s">
        <v>52</v>
      </c>
      <c r="E22" s="10">
        <f>IF(F22="Yes",5,"0")</f>
        <v>5</v>
      </c>
      <c r="F22" s="11" t="s">
        <v>10</v>
      </c>
      <c r="G22" s="9"/>
      <c r="H22" s="9"/>
      <c r="I22" s="9"/>
      <c r="J22" s="9"/>
    </row>
    <row r="23" spans="1:10" ht="90" customHeight="1" x14ac:dyDescent="0.3">
      <c r="A23" s="7">
        <v>16</v>
      </c>
      <c r="B23" s="8" t="s">
        <v>41</v>
      </c>
      <c r="C23" s="9" t="s">
        <v>41</v>
      </c>
      <c r="D23" s="13" t="s">
        <v>55</v>
      </c>
      <c r="E23" s="10">
        <f>IF(F23="Yes",3,"0")</f>
        <v>3</v>
      </c>
      <c r="F23" s="11" t="s">
        <v>10</v>
      </c>
      <c r="G23" s="9"/>
      <c r="H23" s="9"/>
      <c r="I23" s="16"/>
      <c r="J23" s="9"/>
    </row>
    <row r="24" spans="1:10" ht="110.1" customHeight="1" x14ac:dyDescent="0.3">
      <c r="A24" s="7">
        <v>17</v>
      </c>
      <c r="B24" s="8" t="s">
        <v>41</v>
      </c>
      <c r="C24" s="9" t="s">
        <v>41</v>
      </c>
      <c r="D24" s="9" t="s">
        <v>62</v>
      </c>
      <c r="E24" s="10">
        <f>IF(F24="Yes",5,"0")</f>
        <v>5</v>
      </c>
      <c r="F24" s="11" t="s">
        <v>10</v>
      </c>
      <c r="G24" s="9"/>
      <c r="H24" s="9"/>
      <c r="I24" s="16"/>
      <c r="J24" s="9"/>
    </row>
    <row r="25" spans="1:10" ht="90" customHeight="1" x14ac:dyDescent="0.3">
      <c r="A25" s="7">
        <v>18</v>
      </c>
      <c r="B25" s="8" t="s">
        <v>41</v>
      </c>
      <c r="C25" s="9" t="s">
        <v>41</v>
      </c>
      <c r="D25" s="9" t="s">
        <v>36</v>
      </c>
      <c r="E25" s="10">
        <f>IF(F25="Yes",3,"0")</f>
        <v>3</v>
      </c>
      <c r="F25" s="11" t="s">
        <v>10</v>
      </c>
      <c r="G25" s="9"/>
      <c r="H25" s="9"/>
      <c r="I25" s="9"/>
      <c r="J25" s="9"/>
    </row>
    <row r="26" spans="1:10" ht="90" customHeight="1" x14ac:dyDescent="0.3">
      <c r="A26" s="7">
        <v>19</v>
      </c>
      <c r="B26" s="8" t="s">
        <v>41</v>
      </c>
      <c r="C26" s="9" t="s">
        <v>41</v>
      </c>
      <c r="D26" s="8" t="s">
        <v>65</v>
      </c>
      <c r="E26" s="10">
        <f>IF(F26="Yes",3,"0")</f>
        <v>3</v>
      </c>
      <c r="F26" s="11" t="s">
        <v>10</v>
      </c>
      <c r="G26" s="9"/>
      <c r="H26" s="9"/>
      <c r="I26" s="9"/>
      <c r="J26" s="9"/>
    </row>
    <row r="27" spans="1:10" ht="90" customHeight="1" x14ac:dyDescent="0.3">
      <c r="A27" s="7">
        <v>20</v>
      </c>
      <c r="B27" s="8" t="s">
        <v>41</v>
      </c>
      <c r="C27" s="9" t="s">
        <v>41</v>
      </c>
      <c r="D27" s="9" t="s">
        <v>3</v>
      </c>
      <c r="E27" s="10">
        <v>0</v>
      </c>
      <c r="F27" s="14" t="s">
        <v>44</v>
      </c>
      <c r="G27" s="9"/>
      <c r="H27" s="9"/>
      <c r="I27" s="9"/>
      <c r="J27" s="9"/>
    </row>
    <row r="28" spans="1:10" ht="90" customHeight="1" x14ac:dyDescent="0.3">
      <c r="A28" s="7">
        <v>21</v>
      </c>
      <c r="B28" s="8" t="s">
        <v>41</v>
      </c>
      <c r="C28" s="9" t="s">
        <v>41</v>
      </c>
      <c r="D28" s="9" t="s">
        <v>66</v>
      </c>
      <c r="E28" s="10">
        <f>IF(F28="Yes",3,"0")</f>
        <v>3</v>
      </c>
      <c r="F28" s="11" t="s">
        <v>10</v>
      </c>
      <c r="G28" s="9"/>
      <c r="H28" s="9"/>
      <c r="I28" s="9"/>
      <c r="J28" s="9"/>
    </row>
    <row r="29" spans="1:10" ht="90" customHeight="1" x14ac:dyDescent="0.3">
      <c r="A29" s="7">
        <v>22</v>
      </c>
      <c r="B29" s="8" t="s">
        <v>41</v>
      </c>
      <c r="C29" s="9" t="s">
        <v>41</v>
      </c>
      <c r="D29" s="9" t="s">
        <v>48</v>
      </c>
      <c r="E29" s="10">
        <f>IF(F29="Yes",3,"0")</f>
        <v>3</v>
      </c>
      <c r="F29" s="11" t="s">
        <v>10</v>
      </c>
      <c r="G29" s="9"/>
      <c r="H29" s="9"/>
      <c r="I29" s="9"/>
      <c r="J29" s="9"/>
    </row>
    <row r="30" spans="1:10" ht="90" customHeight="1" x14ac:dyDescent="0.3">
      <c r="A30" s="7">
        <v>23</v>
      </c>
      <c r="B30" s="8" t="s">
        <v>41</v>
      </c>
      <c r="C30" s="9" t="s">
        <v>41</v>
      </c>
      <c r="D30" s="9" t="s">
        <v>59</v>
      </c>
      <c r="E30" s="10">
        <f>IF(F30="Yes",5,"0")</f>
        <v>5</v>
      </c>
      <c r="F30" s="11" t="s">
        <v>10</v>
      </c>
      <c r="G30" s="9"/>
      <c r="H30" s="9"/>
      <c r="I30" s="9"/>
      <c r="J30" s="9"/>
    </row>
    <row r="31" spans="1:10" ht="90" customHeight="1" x14ac:dyDescent="0.3">
      <c r="A31" s="7">
        <v>24</v>
      </c>
      <c r="B31" s="8" t="s">
        <v>41</v>
      </c>
      <c r="C31" s="9" t="s">
        <v>41</v>
      </c>
      <c r="D31" s="13" t="s">
        <v>53</v>
      </c>
      <c r="E31" s="10">
        <f>IF(F31="Yes",3,"0")</f>
        <v>3</v>
      </c>
      <c r="F31" s="11" t="s">
        <v>10</v>
      </c>
      <c r="G31" s="9"/>
      <c r="H31" s="9"/>
      <c r="I31" s="9"/>
      <c r="J31" s="9"/>
    </row>
    <row r="32" spans="1:10" ht="90" customHeight="1" x14ac:dyDescent="0.3">
      <c r="A32" s="7">
        <v>25</v>
      </c>
      <c r="B32" s="8" t="s">
        <v>41</v>
      </c>
      <c r="C32" s="9" t="s">
        <v>41</v>
      </c>
      <c r="D32" s="13" t="s">
        <v>60</v>
      </c>
      <c r="E32" s="10">
        <f>IF(F32="Yes",3,"0")</f>
        <v>3</v>
      </c>
      <c r="F32" s="11" t="s">
        <v>10</v>
      </c>
      <c r="G32" s="9"/>
      <c r="H32" s="9"/>
      <c r="I32" s="9"/>
      <c r="J32" s="9"/>
    </row>
    <row r="33" spans="1:10" ht="90" customHeight="1" x14ac:dyDescent="0.3">
      <c r="A33" s="7">
        <v>26</v>
      </c>
      <c r="B33" s="9" t="s">
        <v>4</v>
      </c>
      <c r="C33" s="9" t="s">
        <v>4</v>
      </c>
      <c r="D33" s="9" t="s">
        <v>5</v>
      </c>
      <c r="E33" s="10">
        <f>IF(F33="Yes",5,"0")</f>
        <v>5</v>
      </c>
      <c r="F33" s="11" t="s">
        <v>10</v>
      </c>
      <c r="G33" s="9"/>
      <c r="H33" s="9"/>
      <c r="I33" s="9"/>
      <c r="J33" s="9"/>
    </row>
    <row r="34" spans="1:10" ht="90" customHeight="1" x14ac:dyDescent="0.3">
      <c r="A34" s="7">
        <v>27</v>
      </c>
      <c r="B34" s="9" t="s">
        <v>4</v>
      </c>
      <c r="C34" s="9" t="s">
        <v>4</v>
      </c>
      <c r="D34" s="9" t="s">
        <v>49</v>
      </c>
      <c r="E34" s="10">
        <f>IF(F34="Yes",5,"0")</f>
        <v>5</v>
      </c>
      <c r="F34" s="11" t="s">
        <v>10</v>
      </c>
      <c r="G34" s="9"/>
      <c r="H34" s="9"/>
      <c r="I34" s="9"/>
      <c r="J34" s="9"/>
    </row>
    <row r="35" spans="1:10" ht="90" customHeight="1" x14ac:dyDescent="0.3">
      <c r="A35" s="7">
        <v>28</v>
      </c>
      <c r="B35" s="9" t="s">
        <v>21</v>
      </c>
      <c r="C35" s="9" t="s">
        <v>21</v>
      </c>
      <c r="D35" s="9" t="s">
        <v>67</v>
      </c>
      <c r="E35" s="10">
        <f>IF(F35="Yes",1,"0")</f>
        <v>1</v>
      </c>
      <c r="F35" s="11" t="s">
        <v>10</v>
      </c>
      <c r="G35" s="9"/>
      <c r="H35" s="9"/>
      <c r="I35" s="9"/>
      <c r="J35" s="9"/>
    </row>
    <row r="36" spans="1:10" ht="90" customHeight="1" x14ac:dyDescent="0.3">
      <c r="A36" s="7">
        <v>29</v>
      </c>
      <c r="B36" s="9" t="s">
        <v>21</v>
      </c>
      <c r="C36" s="9" t="s">
        <v>21</v>
      </c>
      <c r="D36" s="9" t="s">
        <v>43</v>
      </c>
      <c r="E36" s="10">
        <f>IF(F36="Yes",5,"0")</f>
        <v>5</v>
      </c>
      <c r="F36" s="11" t="s">
        <v>10</v>
      </c>
      <c r="G36" s="9"/>
      <c r="H36" s="9"/>
      <c r="I36" s="9"/>
      <c r="J36" s="9"/>
    </row>
    <row r="37" spans="1:10" ht="90" customHeight="1" x14ac:dyDescent="0.3">
      <c r="A37" s="7">
        <v>30</v>
      </c>
      <c r="B37" s="9" t="s">
        <v>21</v>
      </c>
      <c r="C37" s="9" t="s">
        <v>21</v>
      </c>
      <c r="D37" s="9" t="s">
        <v>47</v>
      </c>
      <c r="E37" s="10">
        <f>IF(F37="Yes",5,"0")</f>
        <v>5</v>
      </c>
      <c r="F37" s="11" t="s">
        <v>10</v>
      </c>
      <c r="G37" s="9"/>
      <c r="H37" s="9"/>
      <c r="I37" s="9"/>
      <c r="J37" s="9"/>
    </row>
    <row r="38" spans="1:10" ht="90" customHeight="1" x14ac:dyDescent="0.3">
      <c r="A38" s="7">
        <v>31</v>
      </c>
      <c r="B38" s="9" t="s">
        <v>21</v>
      </c>
      <c r="C38" s="9" t="s">
        <v>21</v>
      </c>
      <c r="D38" s="9" t="s">
        <v>68</v>
      </c>
      <c r="E38" s="10">
        <f>IF(F38="Yes",5,"0")</f>
        <v>5</v>
      </c>
      <c r="F38" s="11" t="s">
        <v>10</v>
      </c>
      <c r="G38" s="9"/>
      <c r="H38" s="9"/>
      <c r="I38" s="9"/>
      <c r="J38" s="9"/>
    </row>
    <row r="39" spans="1:10" ht="90" customHeight="1" x14ac:dyDescent="0.3">
      <c r="A39" s="7">
        <v>32</v>
      </c>
      <c r="B39" s="9" t="s">
        <v>21</v>
      </c>
      <c r="C39" s="9" t="s">
        <v>21</v>
      </c>
      <c r="D39" s="9" t="s">
        <v>6</v>
      </c>
      <c r="E39" s="10">
        <v>0</v>
      </c>
      <c r="F39" s="14" t="s">
        <v>44</v>
      </c>
      <c r="G39" s="9"/>
      <c r="H39" s="9"/>
      <c r="I39" s="9"/>
      <c r="J39" s="9"/>
    </row>
    <row r="40" spans="1:10" ht="90" customHeight="1" x14ac:dyDescent="0.3">
      <c r="A40" s="7">
        <v>33</v>
      </c>
      <c r="B40" s="9" t="s">
        <v>21</v>
      </c>
      <c r="C40" s="9" t="s">
        <v>21</v>
      </c>
      <c r="D40" s="9" t="s">
        <v>73</v>
      </c>
      <c r="E40" s="10">
        <v>0</v>
      </c>
      <c r="F40" s="14" t="s">
        <v>44</v>
      </c>
      <c r="G40" s="9"/>
      <c r="H40" s="9"/>
      <c r="I40" s="9"/>
      <c r="J40" s="9"/>
    </row>
    <row r="41" spans="1:10" ht="90" customHeight="1" x14ac:dyDescent="0.3">
      <c r="A41" s="7">
        <v>34</v>
      </c>
      <c r="B41" s="9" t="s">
        <v>21</v>
      </c>
      <c r="C41" s="9" t="s">
        <v>21</v>
      </c>
      <c r="D41" s="9" t="s">
        <v>69</v>
      </c>
      <c r="E41" s="10">
        <f>IF(F41="Yes",2,"0")</f>
        <v>2</v>
      </c>
      <c r="F41" s="11" t="s">
        <v>10</v>
      </c>
      <c r="G41" s="9"/>
      <c r="H41" s="9"/>
      <c r="I41" s="9"/>
      <c r="J41" s="9"/>
    </row>
    <row r="42" spans="1:10" ht="90" customHeight="1" x14ac:dyDescent="0.3">
      <c r="A42" s="7">
        <v>35</v>
      </c>
      <c r="B42" s="9" t="s">
        <v>21</v>
      </c>
      <c r="C42" s="9" t="s">
        <v>21</v>
      </c>
      <c r="D42" s="9" t="s">
        <v>7</v>
      </c>
      <c r="E42" s="10">
        <f>IF(F42="Yes",2,"0")</f>
        <v>2</v>
      </c>
      <c r="F42" s="11" t="s">
        <v>10</v>
      </c>
      <c r="G42" s="9"/>
      <c r="H42" s="9"/>
      <c r="I42" s="9"/>
      <c r="J42" s="9"/>
    </row>
  </sheetData>
  <conditionalFormatting sqref="D17">
    <cfRule type="duplicateValues" dxfId="4" priority="1"/>
  </conditionalFormatting>
  <conditionalFormatting sqref="D44:D1048576 E3 D1:D2 D4:D6 D18:D42 D8:D16">
    <cfRule type="duplicateValues" dxfId="3" priority="7"/>
  </conditionalFormatting>
  <dataValidations count="2">
    <dataValidation allowBlank="1" sqref="F39:F40 E8:E42 F27 E47:G1048576 E1:G7" xr:uid="{00000000-0002-0000-0100-000000000000}"/>
    <dataValidation type="list" allowBlank="1" sqref="F28:F38 F8:F26 F41:F42" xr:uid="{41297195-91BB-476C-BD7A-EA7750A5802A}">
      <formula1>"Yes, No"</formula1>
    </dataValidation>
  </dataValidations>
  <pageMargins left="0.7" right="0.7" top="0.75" bottom="0.75" header="0.3" footer="0.3"/>
  <pageSetup paperSize="9" scale="4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5"/>
  <sheetViews>
    <sheetView showGridLines="0" zoomScaleNormal="100" workbookViewId="0">
      <selection activeCell="A2" sqref="A2"/>
    </sheetView>
  </sheetViews>
  <sheetFormatPr defaultColWidth="9.109375" defaultRowHeight="13.8" x14ac:dyDescent="0.3"/>
  <cols>
    <col min="1" max="1" width="34.88671875" style="17" bestFit="1" customWidth="1"/>
    <col min="2" max="2" width="22.33203125" style="17" bestFit="1" customWidth="1"/>
    <col min="3" max="3" width="14" style="21" bestFit="1" customWidth="1"/>
    <col min="4" max="4" width="10.44140625" style="21" bestFit="1" customWidth="1"/>
    <col min="5" max="5" width="14.44140625" style="17" bestFit="1" customWidth="1"/>
    <col min="6" max="16384" width="9.109375" style="17"/>
  </cols>
  <sheetData>
    <row r="1" spans="1:5" x14ac:dyDescent="0.3">
      <c r="A1" s="29" t="s">
        <v>23</v>
      </c>
      <c r="B1" s="19" t="s">
        <v>24</v>
      </c>
      <c r="C1" s="19" t="s">
        <v>11</v>
      </c>
      <c r="D1" s="19" t="s">
        <v>12</v>
      </c>
      <c r="E1" s="19" t="s">
        <v>13</v>
      </c>
    </row>
    <row r="2" spans="1:5" x14ac:dyDescent="0.3">
      <c r="A2" s="30" t="s">
        <v>1</v>
      </c>
      <c r="B2" s="18">
        <f>COUNTIF(Checklist!$B$7:$B$42,A2)</f>
        <v>13</v>
      </c>
      <c r="C2" s="27">
        <v>31</v>
      </c>
      <c r="D2" s="28">
        <f>SUMIF(Checklist!$B:$B,'Score Parameters'!$A2,Checklist!$E:$E)</f>
        <v>31</v>
      </c>
      <c r="E2" s="31">
        <f>D2/C2</f>
        <v>1</v>
      </c>
    </row>
    <row r="3" spans="1:5" x14ac:dyDescent="0.3">
      <c r="A3" s="30" t="s">
        <v>41</v>
      </c>
      <c r="B3" s="18">
        <f>COUNTIF(Checklist!$B$7:$B$42,A3)</f>
        <v>12</v>
      </c>
      <c r="C3" s="27">
        <v>39</v>
      </c>
      <c r="D3" s="28">
        <f>SUMIF(Checklist!$B:$B,'Score Parameters'!$A3,Checklist!$E:$E)</f>
        <v>39</v>
      </c>
      <c r="E3" s="31">
        <f>D3/C3</f>
        <v>1</v>
      </c>
    </row>
    <row r="4" spans="1:5" x14ac:dyDescent="0.3">
      <c r="A4" s="30" t="s">
        <v>21</v>
      </c>
      <c r="B4" s="18">
        <f>COUNTIF(Checklist!$B$7:$B$42,A4)</f>
        <v>8</v>
      </c>
      <c r="C4" s="27">
        <v>20</v>
      </c>
      <c r="D4" s="28">
        <f>SUMIF(Checklist!$B:$B,'Score Parameters'!$A4,Checklist!$E:$E)</f>
        <v>20</v>
      </c>
      <c r="E4" s="31">
        <f>D4/C4</f>
        <v>1</v>
      </c>
    </row>
    <row r="5" spans="1:5" x14ac:dyDescent="0.3">
      <c r="A5" s="30" t="s">
        <v>4</v>
      </c>
      <c r="B5" s="18">
        <f>COUNTIF(Checklist!$B$7:$B$42,A5)</f>
        <v>2</v>
      </c>
      <c r="C5" s="27">
        <v>10</v>
      </c>
      <c r="D5" s="28">
        <f>SUMIF(Checklist!$B:$B,'Score Parameters'!$A5,Checklist!$E:$E)</f>
        <v>10</v>
      </c>
      <c r="E5" s="31">
        <f>D5/C5</f>
        <v>1</v>
      </c>
    </row>
    <row r="6" spans="1:5" x14ac:dyDescent="0.3">
      <c r="A6" s="29" t="s">
        <v>22</v>
      </c>
      <c r="B6" s="19">
        <f>SUM(B2:B5)</f>
        <v>35</v>
      </c>
      <c r="C6" s="19">
        <f>SUM(C2:C5)</f>
        <v>100</v>
      </c>
      <c r="D6" s="19">
        <f>SUM(D2:D5)</f>
        <v>100</v>
      </c>
      <c r="E6" s="32">
        <f>D6/C6</f>
        <v>1</v>
      </c>
    </row>
    <row r="7" spans="1:5" x14ac:dyDescent="0.3">
      <c r="A7" s="39" t="s">
        <v>14</v>
      </c>
      <c r="B7" s="39"/>
      <c r="C7" s="39"/>
      <c r="D7" s="39"/>
      <c r="E7" s="19" t="str">
        <f>IF(E6&gt;=0.8,"A",IF(E6&gt;=0.7,"B",IF(E6&gt;=0.6,"C",IF(E6&gt;=0.5,"D","E"))))</f>
        <v>A</v>
      </c>
    </row>
    <row r="10" spans="1:5" hidden="1" x14ac:dyDescent="0.3">
      <c r="A10" s="20" t="s">
        <v>34</v>
      </c>
      <c r="B10" s="20" t="s">
        <v>35</v>
      </c>
    </row>
    <row r="11" spans="1:5" hidden="1" x14ac:dyDescent="0.3">
      <c r="A11" s="22" t="s">
        <v>25</v>
      </c>
      <c r="B11" s="18" t="s">
        <v>26</v>
      </c>
    </row>
    <row r="12" spans="1:5" hidden="1" x14ac:dyDescent="0.3">
      <c r="A12" s="23" t="s">
        <v>27</v>
      </c>
      <c r="B12" s="18" t="s">
        <v>28</v>
      </c>
    </row>
    <row r="13" spans="1:5" hidden="1" x14ac:dyDescent="0.3">
      <c r="A13" s="24" t="s">
        <v>29</v>
      </c>
      <c r="B13" s="18" t="s">
        <v>54</v>
      </c>
    </row>
    <row r="14" spans="1:5" hidden="1" x14ac:dyDescent="0.3">
      <c r="A14" s="25" t="s">
        <v>30</v>
      </c>
      <c r="B14" s="18" t="s">
        <v>31</v>
      </c>
    </row>
    <row r="15" spans="1:5" hidden="1" x14ac:dyDescent="0.3">
      <c r="A15" s="26" t="s">
        <v>32</v>
      </c>
      <c r="B15" s="18" t="s">
        <v>33</v>
      </c>
    </row>
  </sheetData>
  <mergeCells count="1">
    <mergeCell ref="A7:D7"/>
  </mergeCells>
  <conditionalFormatting sqref="A11:A15">
    <cfRule type="colorScale" priority="1">
      <colorScale>
        <cfvo type="min"/>
        <cfvo type="percentile" val="50"/>
        <cfvo type="max"/>
        <color rgb="FFF8696B"/>
        <color rgb="FFFFEB84"/>
        <color rgb="FF63BE7B"/>
      </colorScale>
    </cfRule>
  </conditionalFormatting>
  <conditionalFormatting sqref="E6">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scale="9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6FD2A-A361-4CCF-B890-6E113932D068}">
  <dimension ref="A1:O4"/>
  <sheetViews>
    <sheetView zoomScaleNormal="100" workbookViewId="0"/>
  </sheetViews>
  <sheetFormatPr defaultRowHeight="14.4" x14ac:dyDescent="0.3"/>
  <cols>
    <col min="1" max="1" width="12.44140625" bestFit="1" customWidth="1"/>
    <col min="2" max="2" width="10.109375" bestFit="1" customWidth="1"/>
    <col min="3" max="3" width="16.33203125" bestFit="1" customWidth="1"/>
    <col min="4" max="4" width="11.44140625" bestFit="1" customWidth="1"/>
    <col min="5" max="5" width="12.88671875" bestFit="1" customWidth="1"/>
    <col min="6" max="6" width="10.33203125" bestFit="1" customWidth="1"/>
    <col min="7" max="7" width="5.88671875" bestFit="1" customWidth="1"/>
    <col min="8" max="8" width="11.33203125" bestFit="1" customWidth="1"/>
    <col min="9" max="9" width="6.88671875" bestFit="1" customWidth="1"/>
    <col min="10" max="10" width="11.33203125" bestFit="1" customWidth="1"/>
    <col min="11" max="11" width="6.88671875" bestFit="1" customWidth="1"/>
    <col min="12" max="12" width="11.109375" bestFit="1" customWidth="1"/>
    <col min="13" max="13" width="6.6640625" bestFit="1" customWidth="1"/>
    <col min="14" max="14" width="11.5546875" bestFit="1" customWidth="1"/>
    <col min="15" max="15" width="7.109375" bestFit="1" customWidth="1"/>
  </cols>
  <sheetData>
    <row r="1" spans="1:15" x14ac:dyDescent="0.3">
      <c r="A1" s="35" t="s">
        <v>92</v>
      </c>
      <c r="B1" s="35" t="s">
        <v>79</v>
      </c>
      <c r="C1" s="35" t="s">
        <v>80</v>
      </c>
      <c r="D1" s="36" t="s">
        <v>81</v>
      </c>
      <c r="E1" s="35" t="s">
        <v>8</v>
      </c>
      <c r="F1" s="35" t="s">
        <v>82</v>
      </c>
      <c r="G1" s="35" t="s">
        <v>83</v>
      </c>
      <c r="H1" s="35" t="s">
        <v>84</v>
      </c>
      <c r="I1" s="35" t="s">
        <v>85</v>
      </c>
      <c r="J1" s="35" t="s">
        <v>86</v>
      </c>
      <c r="K1" s="35" t="s">
        <v>87</v>
      </c>
      <c r="L1" s="35" t="s">
        <v>88</v>
      </c>
      <c r="M1" s="35" t="s">
        <v>89</v>
      </c>
      <c r="N1" s="35" t="s">
        <v>90</v>
      </c>
      <c r="O1" s="35" t="s">
        <v>91</v>
      </c>
    </row>
    <row r="2" spans="1:15" x14ac:dyDescent="0.3">
      <c r="A2" s="37"/>
      <c r="B2" s="37"/>
      <c r="C2" s="37"/>
      <c r="D2" s="37"/>
      <c r="E2" s="37"/>
      <c r="F2" s="37"/>
      <c r="G2" s="37"/>
      <c r="H2" s="37"/>
      <c r="I2" s="37"/>
      <c r="J2" s="37"/>
      <c r="K2" s="37"/>
      <c r="L2" s="37"/>
      <c r="M2" s="37"/>
      <c r="N2" s="37"/>
      <c r="O2" s="37"/>
    </row>
    <row r="3" spans="1:15" x14ac:dyDescent="0.3">
      <c r="A3" s="37"/>
      <c r="B3" s="37"/>
      <c r="C3" s="37"/>
      <c r="D3" s="37"/>
      <c r="E3" s="37"/>
      <c r="F3" s="37"/>
      <c r="G3" s="37"/>
      <c r="H3" s="37"/>
      <c r="I3" s="37"/>
      <c r="J3" s="37"/>
      <c r="K3" s="37"/>
      <c r="L3" s="37"/>
      <c r="M3" s="37"/>
      <c r="N3" s="37"/>
      <c r="O3" s="37"/>
    </row>
    <row r="4" spans="1:15" x14ac:dyDescent="0.3">
      <c r="A4" s="37"/>
      <c r="B4" s="37"/>
      <c r="C4" s="37"/>
      <c r="D4" s="37"/>
      <c r="E4" s="37"/>
      <c r="F4" s="37"/>
      <c r="G4" s="37"/>
      <c r="H4" s="37"/>
      <c r="I4" s="37"/>
      <c r="J4" s="37"/>
      <c r="K4" s="37"/>
      <c r="L4" s="37"/>
      <c r="M4" s="37"/>
      <c r="N4" s="37"/>
      <c r="O4" s="3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2808-7D58-473B-B830-FF5F3507861F}">
  <dimension ref="A1"/>
  <sheetViews>
    <sheetView zoomScaleNormal="100" workbookViewId="0"/>
  </sheetViews>
  <sheetFormatPr defaultColWidth="9.109375" defaultRowHeight="13.8" x14ac:dyDescent="0.3"/>
  <cols>
    <col min="1" max="1" width="100.6640625" style="33" customWidth="1"/>
    <col min="2" max="16384" width="9.109375" style="33"/>
  </cols>
  <sheetData>
    <row r="1" spans="1:1" x14ac:dyDescent="0.3">
      <c r="A1" s="34" t="s">
        <v>8</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441EEC-55BA-46EA-90EF-FC0D7755347D}">
  <ds:schemaRefs>
    <ds:schemaRef ds:uri="http://schemas.microsoft.com/sharepoint/v3/contenttype/forms"/>
  </ds:schemaRefs>
</ds:datastoreItem>
</file>

<file path=customXml/itemProps2.xml><?xml version="1.0" encoding="utf-8"?>
<ds:datastoreItem xmlns:ds="http://schemas.openxmlformats.org/officeDocument/2006/customXml" ds:itemID="{D2F59799-9B83-49D0-A943-0DC9FFAB44BC}">
  <ds:schemaRefs>
    <ds:schemaRef ds:uri="http://purl.org/dc/elements/1.1/"/>
    <ds:schemaRef ds:uri="http://www.w3.org/XML/1998/namespace"/>
    <ds:schemaRef ds:uri="0115396f-2e4a-4d2a-ba9c-df4d17cb71a2"/>
    <ds:schemaRef ds:uri="http://purl.org/dc/terms/"/>
    <ds:schemaRef ds:uri="2bc29a05-2ca3-4765-9547-41c11361a102"/>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2DF47549-3EF2-4376-830A-0D6707ECCE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Checklist</vt:lpstr>
      <vt:lpstr>Score Parameters</vt:lpstr>
      <vt:lpstr>Annexure</vt:lpstr>
      <vt:lpstr>Supporting</vt:lpstr>
      <vt:lpstr>Supporting!Print_Titles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dcterms:created xsi:type="dcterms:W3CDTF">2021-12-01T09:51:20Z</dcterms:created>
  <dcterms:modified xsi:type="dcterms:W3CDTF">2026-08-31T07:17:21Z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