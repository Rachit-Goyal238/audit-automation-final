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Rachit Goyal\Downloads\audit-automation-final\templates\TATA Capital\"/>
    </mc:Choice>
  </mc:AlternateContent>
  <xr:revisionPtr revIDLastSave="0" documentId="13_ncr:1_{CFD236D2-07B6-4D9B-98C3-CD5A14747BFB}" xr6:coauthVersionLast="47" xr6:coauthVersionMax="47" xr10:uidLastSave="{00000000-0000-0000-0000-000000000000}"/>
  <bookViews>
    <workbookView xWindow="-108" yWindow="-108" windowWidth="23256" windowHeight="12456" xr2:uid="{00000000-000D-0000-FFFF-FFFF00000000}"/>
  </bookViews>
  <sheets>
    <sheet name="Repo Checklist" sheetId="5" r:id="rId1"/>
    <sheet name="Score Parameters" sheetId="2" r:id="rId2"/>
  </sheets>
  <definedNames>
    <definedName name="_xlnm._FilterDatabase" localSheetId="0" hidden="1">'Repo Checklist'!$A$7:$J$39</definedName>
    <definedName name="_xlnm._FilterDatabase" localSheetId="1" hidden="1">'Score Parameters'!$A$1:$F$10</definedName>
    <definedName name="_xlnm.Print_Titles" localSheetId="0">'Repo Checklist'!$7:$7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2" l="1"/>
  <c r="E8" i="2"/>
  <c r="F8" i="2" s="1"/>
  <c r="C8" i="2"/>
  <c r="C7" i="2"/>
  <c r="C6" i="2"/>
  <c r="C5" i="2"/>
  <c r="C4" i="2"/>
  <c r="C3" i="2"/>
  <c r="C2" i="2"/>
  <c r="E28" i="5"/>
  <c r="E27" i="5"/>
  <c r="C9" i="2" l="1"/>
  <c r="E23" i="5"/>
  <c r="E26" i="5"/>
  <c r="E22" i="5"/>
  <c r="E36" i="5"/>
  <c r="E38" i="5" l="1"/>
  <c r="E37" i="5"/>
  <c r="E25" i="5"/>
  <c r="E31" i="5"/>
  <c r="E35" i="5"/>
  <c r="E34" i="5"/>
  <c r="E33" i="5"/>
  <c r="E32" i="5"/>
  <c r="E30" i="5" l="1"/>
  <c r="E7" i="2" s="1"/>
  <c r="F7" i="2" s="1"/>
  <c r="E29" i="5"/>
  <c r="E24" i="5"/>
  <c r="E21" i="5"/>
  <c r="E20" i="5"/>
  <c r="E6" i="2" s="1"/>
  <c r="F6" i="2" s="1"/>
  <c r="E19" i="5"/>
  <c r="E18" i="5"/>
  <c r="E17" i="5"/>
  <c r="E16" i="5"/>
  <c r="E5" i="2" s="1"/>
  <c r="F5" i="2" s="1"/>
  <c r="E13" i="5"/>
  <c r="E12" i="5"/>
  <c r="E15" i="5" l="1"/>
  <c r="E11" i="5"/>
  <c r="E10" i="5"/>
  <c r="E9" i="5"/>
  <c r="E8" i="5"/>
  <c r="E2" i="2" s="1"/>
  <c r="E14" i="5"/>
  <c r="E4" i="2" l="1"/>
  <c r="F4" i="2" s="1"/>
  <c r="E3" i="2"/>
  <c r="F3" i="2" s="1"/>
  <c r="F2" i="2"/>
  <c r="E9" i="2" l="1"/>
  <c r="F9" i="2" s="1"/>
  <c r="F10" i="2"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<sst xmlns="http://schemas.openxmlformats.org/spreadsheetml/2006/main" count="175" uniqueCount="112">
  <si>
    <t>Sr.No.</t>
  </si>
  <si>
    <t>Rating Category</t>
  </si>
  <si>
    <t>Particular</t>
  </si>
  <si>
    <t>Compliance status
 (Yes / No)</t>
  </si>
  <si>
    <t>Observation</t>
  </si>
  <si>
    <t>Final Score</t>
  </si>
  <si>
    <t>Allocation Compliance</t>
  </si>
  <si>
    <t>Not All cases allocated to agency CREs</t>
  </si>
  <si>
    <t>TCOC Guidelines/Other communication not available</t>
  </si>
  <si>
    <t>Data Security</t>
  </si>
  <si>
    <t>Data purging is not being done – Old allocation files were available in agency's system</t>
  </si>
  <si>
    <t>Whether data shared through mail are password protected / appropriate security measures are adopted by agency ?</t>
  </si>
  <si>
    <t>Data is being shared on unregistered email ids</t>
  </si>
  <si>
    <t>Has the agency made any reference to company's name on the his's name board &amp; e-mail ?</t>
  </si>
  <si>
    <t>Tata capital's name being used in agency office</t>
  </si>
  <si>
    <t>Whether agency has updated address &amp; other details in company records</t>
  </si>
  <si>
    <t>NDC not shared</t>
  </si>
  <si>
    <t>Whether full cooperation/complete &amp; timely data was received from agency for completing audit?</t>
  </si>
  <si>
    <t>Not cooperated by agency during audit</t>
  </si>
  <si>
    <t>Repo Kit Return Delay by agency</t>
  </si>
  <si>
    <t>Indemnity bond and newspaper publication not issued after repo kit loss</t>
  </si>
  <si>
    <t>Visitor register not available</t>
  </si>
  <si>
    <t>Repo Kit issuance request are not placed on email/letter head</t>
  </si>
  <si>
    <t>Vendor agreement not available at agency office</t>
  </si>
  <si>
    <t>Short Segmentation</t>
  </si>
  <si>
    <t>S. No.</t>
  </si>
  <si>
    <t>Particulars</t>
  </si>
  <si>
    <t>Key Points</t>
  </si>
  <si>
    <t>Weightage</t>
  </si>
  <si>
    <t>Actual</t>
  </si>
  <si>
    <t>Percentage</t>
  </si>
  <si>
    <t>Total</t>
  </si>
  <si>
    <t>FINAL RATING</t>
  </si>
  <si>
    <t>A</t>
  </si>
  <si>
    <t>&gt;=80</t>
  </si>
  <si>
    <t>B</t>
  </si>
  <si>
    <t>&gt;=70 and &lt;=79</t>
  </si>
  <si>
    <t>C</t>
  </si>
  <si>
    <t>D</t>
  </si>
  <si>
    <t>&gt;=50 and &lt;=59</t>
  </si>
  <si>
    <t>E</t>
  </si>
  <si>
    <t>&lt;=49</t>
  </si>
  <si>
    <t>Rating</t>
  </si>
  <si>
    <t>Scoring Segmentation</t>
  </si>
  <si>
    <t>TCOC</t>
  </si>
  <si>
    <t>Infra and others</t>
  </si>
  <si>
    <t>Repossession Process</t>
  </si>
  <si>
    <t>Record Management</t>
  </si>
  <si>
    <t>Agency Code</t>
  </si>
  <si>
    <t>Auditor Name</t>
  </si>
  <si>
    <t>Agency Name</t>
  </si>
  <si>
    <t>Audit Date</t>
  </si>
  <si>
    <t>Agency Address</t>
  </si>
  <si>
    <t>Collection Manager</t>
  </si>
  <si>
    <t>Type of agency</t>
  </si>
  <si>
    <t>Agency Manager</t>
  </si>
  <si>
    <t>Vendor code not created</t>
  </si>
  <si>
    <t>Yes</t>
  </si>
  <si>
    <t>Data files were not password protected</t>
  </si>
  <si>
    <t>Whether agency has purged data as per policy?</t>
  </si>
  <si>
    <t xml:space="preserve">Whether repossession cases given to the Agency Post Vendor Code Creation only? </t>
  </si>
  <si>
    <t>Are all the vehicles deposited in the yard within the TAT?</t>
  </si>
  <si>
    <t>Vehicles deposited in the yard within TAT</t>
  </si>
  <si>
    <t>Repo Agency</t>
  </si>
  <si>
    <t>TCOC training not given by TCL Collection Manager</t>
  </si>
  <si>
    <t>Current address is not updated to TCL</t>
  </si>
  <si>
    <t>&gt;=60 and &lt;=69</t>
  </si>
  <si>
    <t>Agency system has no restrictions hence data may fall into wrong hands</t>
  </si>
  <si>
    <t>Whether agency has restricted access of Desktop / Laptops/ Emails are enabled? Check whether agency do not have access of USB/Floppy/CD drives/Google Drive/Cloud storage/share drive/WhatsApp/any data sharing application for data transfer?</t>
  </si>
  <si>
    <t>No exclusive system provided to TCL portfolio</t>
  </si>
  <si>
    <t>Whether separate/exclusive system/Email ID is provided?</t>
  </si>
  <si>
    <t>Expired repo kit used/NCM Approval not taken before repossession</t>
  </si>
  <si>
    <t>Whether agency has returned all unused repo kits within 5 days of expiry?
Whether NCM approval taken before initiating repossession on email/System?</t>
  </si>
  <si>
    <t>Whether FIR, indemnity bond on stamp paper &amp; Newspaper cut-out of published Notice for Loss / theft of repo kit is submitted by Agency as per format in case of lost/stolen repo kit &amp; updated in repo kit tracker ?</t>
  </si>
  <si>
    <t>Repossession done without valid Repo Kit</t>
  </si>
  <si>
    <t>Verify whether all the cases that were repossessed were indeed those allocated to the repossession agency. (Open allocation needs to be highlighted)</t>
  </si>
  <si>
    <t>Whether all agents are trained on the code of conduct &amp; repossession and are well dressed while on field ? (Need to check the acknowledgement of the training given by CM) 
Authorisation Letter - Signed by Collection Manager must required with CREs /Owner details?</t>
  </si>
  <si>
    <t>Whether repossession kit along with all the documents are to be dispatched to the Branch/Central team within 2 business days from the time of deposition of repossessed asset in the yard?</t>
  </si>
  <si>
    <t>Repo kits were not filled correctly/Cutting overwriting on repo kits</t>
  </si>
  <si>
    <t>Check whether any Repo done without valid repo kit?  The repo date and repo kit issuance date should be validated.</t>
  </si>
  <si>
    <t>LRN/PRN not issued</t>
  </si>
  <si>
    <t>Loan recall notice/Pre repossession notice. must be issued before initiation of repossession. Has the LRN cooling-off period been followed before repossession?</t>
  </si>
  <si>
    <t>Whether the agency has raised standard repo kit issuance request through its registered Email ID/ Letter Head in case of offline repo kit used on Exceptional cases?</t>
  </si>
  <si>
    <t>Repo Kit register not maintained by agency</t>
  </si>
  <si>
    <t>Whether agency fill all the necessary details in the Repo Tracker which is available in the blue book every month?</t>
  </si>
  <si>
    <t>Whether any mail containing financial institution's data sent to third party / unregistered mail Ids / unauthorized sharing? Customer Call/Chat on unauthorized channels like What's ap/Facebook or any other unauthorized mode of communication</t>
  </si>
  <si>
    <t>Have the repo kits been filled completely and correctly &amp; no cuttings/alterations/ over writing on the repo kits. Also check whether proper Notarization is done and valid date and sign available wherever required and Pre/Post police  intimation is done within TAT.</t>
  </si>
  <si>
    <t>Whether the valid vendor agreement and the latest pay out grid maintained at the agency?</t>
  </si>
  <si>
    <t>Whether agency maintains visitor register in at their office ? Also, check if Manager / Senior manager visiting the agency signs the visiting register maintained at the agency.</t>
  </si>
  <si>
    <t>Whether the Repo Do's &amp; Don'ts  poster displayed/Code of Conduct posters/ any other communication displayed in the offices ?</t>
  </si>
  <si>
    <t>Blue Book</t>
  </si>
  <si>
    <t>Whether blue book is available at the Agency?</t>
  </si>
  <si>
    <t>Declaration cum undertaking in blue book</t>
  </si>
  <si>
    <t>Whether Declaration Cum Undertaking is filled and signed by the agency and CM/CCM in the Blue Book every month?</t>
  </si>
  <si>
    <t>Monthly Audit and Compliance Checkpoints</t>
  </si>
  <si>
    <t>Monthly Audit and Compliance checkpoints have been done and details to be correctly/completely filled and maintained at agency in the Blue Book?</t>
  </si>
  <si>
    <t xml:space="preserve">Infrastructure declaration </t>
  </si>
  <si>
    <t>Infrastructure declaration to be submitted by the agency every month in the blue book</t>
  </si>
  <si>
    <t>Whether NDC is provided by the agency on quarterly basis? 
Whether any pending bill is available at agency?(Only Observation)</t>
  </si>
  <si>
    <t>NDC not recorded in Blue Book</t>
  </si>
  <si>
    <t>No Dues Certificate to be printed and maintained and data to be recorded in the Blue Book.</t>
  </si>
  <si>
    <t xml:space="preserve">Data Purging Declaration </t>
  </si>
  <si>
    <t>Whether agency has submitted Data Purging Declaration and recorded in the blue book every month? (T+3 months)</t>
  </si>
  <si>
    <t>Miscellaneous</t>
  </si>
  <si>
    <t>Customer Escalations received</t>
  </si>
  <si>
    <t>Any escalations received from customer against Agency/agency CRE during the audit period and ratification action thereon as well as repetition of such instances in future. Whether any fraud reported by Agency/CRE during the last 1 year, if yes, brief details as well as current status thereof. 
In case any penalty has been levied same has been implemented or not, for e.g. Any CRE need to be removed as per Penalty matrix revert, need to check whether that CRE has been removed or not from TCL portfolios</t>
  </si>
  <si>
    <t>Only Observation Point</t>
  </si>
  <si>
    <t>Repo Kit Tracker data maintained</t>
  </si>
  <si>
    <t>Whether the agency maintains Repo kit Tracker in the blue book every month?</t>
  </si>
  <si>
    <t>Closing Meeting Comments</t>
  </si>
  <si>
    <t>Pending Status
(Open/ Closed)</t>
  </si>
  <si>
    <t>Timelines for 
Non-Closure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</si>
</sst>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8"/>
      <color theme="1"/>
      <name val="Arial"/>
      <family val="2"/>
    </font>
    <font>
      <sz val="8"/>
      <color theme="1"/>
      <name val="Arial"/>
      <family val="2"/>
    </font>
    <font>
      <sz val="10"/>
      <name val="Arial"/>
      <family val="2"/>
    </font>
    <font>
      <b/>
      <sz val="10"/>
      <color theme="0"/>
      <name val="Calibri"/>
      <family val="2"/>
      <scheme val="minor"/>
    </font>
    <font>
      <sz val="10"/>
      <color theme="1"/>
      <name val="Calibri"/>
      <family val="2"/>
      <scheme val="minor"/>
    </font>
    <font>
      <sz val="10"/>
      <color theme="3" tint="-0.499984740745262"/>
      <name val="Calibri"/>
      <family val="2"/>
      <scheme val="minor"/>
    </font>
    <font>
      <sz val="10"/>
      <name val="Calibri"/>
      <family val="2"/>
      <scheme val="minor"/>
    </font>
    <font>
      <b/>
      <sz val="10"/>
      <color theme="3" tint="-0.499984740745262"/>
      <name val="Calibri"/>
      <family val="2"/>
      <scheme val="minor"/>
    </font>
    <font>
      <b/>
      <sz val="9"/>
      <color theme="0"/>
      <name val="Calibri"/>
      <family val="2"/>
      <scheme val="minor"/>
    </font>
    <font>
      <sz val="9"/>
      <color theme="1"/>
      <name val="Calibri"/>
      <family val="2"/>
      <scheme val="minor"/>
    </font>
    <font>
      <sz val="11"/>
      <color theme="1"/>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B7D7D"/>
        <bgColor indexed="64"/>
      </patternFill>
    </fill>
    <fill>
      <patternFill patternType="solid">
        <fgColor rgb="FFFF111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9" fontId="1" fillId="0" borderId="0" applyFont="0" applyFill="0" applyBorder="0" applyAlignment="0" applyProtection="0"/>
    <xf numFmtId="0" fontId="2" fillId="0" borderId="0"/>
    <xf numFmtId="0" fontId="10" fillId="0" borderId="0"/>
  </cellStyleXfs>
  <cellXfs count="32">
    <xf numFmtId="0" fontId="0" fillId="0" borderId="0" xfId="0"/>
    <xf numFmtId="0" fontId="3" fillId="4" borderId="1" xfId="0" applyFont="1" applyFill="1" applyBorder="1" applyAlignment="1">
      <alignment horizontal="center" vertical="center"/>
    </xf>
    <xf numFmtId="0" fontId="4" fillId="0" borderId="1" xfId="0" applyFont="1" applyBorder="1" applyAlignment="1">
      <alignment horizontal="center" vertical="center" wrapText="1"/>
    </xf>
    <xf numFmtId="1" fontId="6" fillId="3" borderId="1" xfId="0" applyNumberFormat="1" applyFont="1" applyFill="1" applyBorder="1" applyAlignment="1">
      <alignment horizontal="center" vertical="center" wrapText="1"/>
    </xf>
    <xf numFmtId="0" fontId="3" fillId="4" borderId="2" xfId="0" applyFont="1" applyFill="1" applyBorder="1" applyAlignment="1">
      <alignment horizontal="left" vertical="center"/>
    </xf>
    <xf numFmtId="0" fontId="3" fillId="4" borderId="3" xfId="0" applyFont="1" applyFill="1" applyBorder="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3" fillId="4" borderId="1" xfId="0" applyFont="1" applyFill="1" applyBorder="1" applyAlignment="1">
      <alignment horizontal="left" vertical="center"/>
    </xf>
    <xf numFmtId="0" fontId="6" fillId="5" borderId="4" xfId="0" applyFont="1" applyFill="1" applyBorder="1" applyAlignment="1">
      <alignment horizontal="left" vertical="center"/>
    </xf>
    <xf numFmtId="0" fontId="4" fillId="0" borderId="5" xfId="0" applyFont="1" applyBorder="1" applyAlignment="1">
      <alignment horizontal="left" vertical="center"/>
    </xf>
    <xf numFmtId="0" fontId="6" fillId="6" borderId="4" xfId="0" applyFont="1" applyFill="1" applyBorder="1" applyAlignment="1">
      <alignment horizontal="left" vertical="center"/>
    </xf>
    <xf numFmtId="0" fontId="6" fillId="7" borderId="4" xfId="0" applyFont="1" applyFill="1" applyBorder="1" applyAlignment="1">
      <alignment horizontal="left" vertical="center"/>
    </xf>
    <xf numFmtId="0" fontId="6" fillId="8" borderId="4" xfId="0" applyFont="1" applyFill="1" applyBorder="1" applyAlignment="1">
      <alignment horizontal="left" vertical="center"/>
    </xf>
    <xf numFmtId="0" fontId="6" fillId="9" borderId="6" xfId="0" applyFont="1" applyFill="1" applyBorder="1" applyAlignment="1">
      <alignment horizontal="left" vertical="center"/>
    </xf>
    <xf numFmtId="0" fontId="4" fillId="0" borderId="7" xfId="0" applyFont="1" applyBorder="1" applyAlignment="1">
      <alignment horizontal="left" vertical="center"/>
    </xf>
    <xf numFmtId="0" fontId="5" fillId="0" borderId="1" xfId="0" applyFont="1" applyBorder="1" applyAlignment="1">
      <alignment horizontal="left" vertical="center" wrapText="1"/>
    </xf>
    <xf numFmtId="9" fontId="7" fillId="0" borderId="1" xfId="1" applyFont="1" applyFill="1" applyBorder="1" applyAlignment="1">
      <alignment horizontal="center" vertical="center" wrapText="1"/>
    </xf>
    <xf numFmtId="9" fontId="7" fillId="2" borderId="1" xfId="1" applyFont="1" applyFill="1" applyBorder="1" applyAlignment="1">
      <alignment horizontal="center" vertical="center" wrapText="1"/>
    </xf>
    <xf numFmtId="0" fontId="5" fillId="0" borderId="1" xfId="0" applyFont="1" applyBorder="1" applyAlignment="1">
      <alignment horizontal="center" vertical="center" wrapText="1"/>
    </xf>
    <xf numFmtId="1" fontId="3" fillId="4" borderId="1" xfId="0" applyNumberFormat="1" applyFont="1" applyFill="1" applyBorder="1" applyAlignment="1">
      <alignment horizontal="center" vertical="center"/>
    </xf>
    <xf numFmtId="0" fontId="8" fillId="4" borderId="1" xfId="0" applyFont="1" applyFill="1" applyBorder="1" applyAlignment="1">
      <alignment horizontal="left" vertical="top" wrapText="1"/>
    </xf>
    <xf numFmtId="0" fontId="8" fillId="4" borderId="1" xfId="0" applyFont="1" applyFill="1" applyBorder="1" applyAlignment="1">
      <alignment horizontal="center" vertical="top" wrapText="1"/>
    </xf>
    <xf numFmtId="0" fontId="9" fillId="0" borderId="1" xfId="0" applyFont="1" applyBorder="1" applyAlignment="1">
      <alignment horizontal="center" vertical="top" wrapText="1"/>
    </xf>
    <xf numFmtId="0" fontId="9" fillId="0" borderId="1" xfId="0" applyFont="1" applyBorder="1" applyAlignment="1">
      <alignment horizontal="left" vertical="top" wrapText="1"/>
    </xf>
    <xf numFmtId="0" fontId="9" fillId="3" borderId="1" xfId="0" applyFont="1" applyFill="1" applyBorder="1" applyAlignment="1">
      <alignment horizontal="left" vertical="top" wrapText="1"/>
    </xf>
    <xf numFmtId="1" fontId="9" fillId="3" borderId="1" xfId="0" applyNumberFormat="1" applyFont="1" applyFill="1" applyBorder="1" applyAlignment="1">
      <alignment horizontal="left" vertical="top" wrapText="1"/>
    </xf>
    <xf numFmtId="0" fontId="9" fillId="3" borderId="1" xfId="0" applyFont="1" applyFill="1" applyBorder="1" applyAlignment="1">
      <alignment horizontal="center" vertical="top" wrapText="1"/>
    </xf>
    <xf numFmtId="0" fontId="9" fillId="0" borderId="0" xfId="0" applyFont="1" applyAlignment="1">
      <alignment horizontal="left" wrapText="1"/>
    </xf>
    <xf numFmtId="14" fontId="9" fillId="0" borderId="0" xfId="0" applyNumberFormat="1" applyFont="1" applyAlignment="1">
      <alignment horizontal="left" wrapText="1"/>
    </xf>
    <xf numFmtId="0" fontId="9" fillId="3" borderId="0" xfId="0" applyFont="1" applyFill="1" applyAlignment="1">
      <alignment horizontal="left" wrapText="1"/>
    </xf>
    <xf numFmtId="0" fontId="3" fillId="4" borderId="1" xfId="0" applyFont="1" applyFill="1" applyBorder="1" applyAlignment="1">
      <alignment horizontal="center" vertical="center"/>
    </xf>
  </cellXfs>
  <cellStyles count="4">
    <cellStyle name="Normal" xfId="0" builtinId="0"/>
    <cellStyle name="Normal 2" xfId="2" xr:uid="{00000000-0005-0000-0000-000001000000}"/>
    <cellStyle name="Normal 3" xfId="3" xr:uid="{AA4ECC7D-D534-4863-8088-3413E7F6DABD}"/>
    <cellStyle name="Percent" xfId="1" builtinId="5"/>
  </cellStyles>
  <dxfs count="3">
    <dxf>
      <fill>
        <patternFill>
          <bgColor rgb="FFFF2F2F"/>
        </patternFill>
      </fill>
    </dxf>
    <dxf>
      <fill>
        <patternFill>
          <bgColor rgb="FFFFC91D"/>
        </patternFill>
      </fill>
    </dxf>
    <dxf>
      <fill>
        <patternFill>
          <bgColor rgb="FFA4D76B"/>
        </patternFill>
      </fill>
    </dxf>
  </dxfs>
  <tableStyles count="0" defaultTableStyle="TableStyleMedium2" defaultPivotStyle="PivotStyleLight16"/>
  <colors>
    <mruColors>
      <color rgb="FFFFC91D"/>
      <color rgb="FFA4D76B"/>
      <color rgb="FFFF2F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J39"/>
  <sheetViews>
    <sheetView showGridLines="0" tabSelected="1" zoomScaleNormal="100" workbookViewId="0">
      <selection activeCell="B5" sqref="B5"/>
    </sheetView>
  </sheetViews>
  <sheetFormatPr defaultColWidth="9.28515625" defaultRowHeight="12" x14ac:dyDescent="0.25"/>
  <cols>
    <col min="1" max="1" width="6.140625" style="28" bestFit="1" customWidth="1"/>
    <col min="2" max="2" width="20.140625" style="28" bestFit="1" customWidth="1"/>
    <col min="3" max="3" width="25" style="28" bestFit="1" customWidth="1"/>
    <col min="4" max="4" width="49.85546875" style="28" customWidth="1"/>
    <col min="5" max="5" width="16.85546875" style="28" hidden="1" customWidth="1"/>
    <col min="6" max="6" width="21.7109375" style="28" bestFit="1" customWidth="1"/>
    <col min="7" max="7" width="35.28515625" style="28" customWidth="1"/>
    <col min="8" max="8" width="32.85546875" style="28" customWidth="1"/>
    <col min="9" max="9" width="13.7109375" style="28" bestFit="1" customWidth="1"/>
    <col min="10" max="10" width="16" style="28" bestFit="1" customWidth="1"/>
    <col min="11" max="11" width="21.28515625" style="28" customWidth="1"/>
    <col min="12" max="16384" width="9.28515625" style="28"/>
  </cols>
  <sheetData>
    <row r="2" spans="1:10" ht="39.9" customHeight="1" x14ac:dyDescent="0.25">
      <c r="C2" s="21" t="s">
        <v>48</v>
      </c>
      <c r="D2" s="24"/>
      <c r="E2" s="24"/>
      <c r="F2" s="21" t="s">
        <v>49</v>
      </c>
      <c r="G2" s="24"/>
    </row>
    <row r="3" spans="1:10" ht="39.9" customHeight="1" x14ac:dyDescent="0.25">
      <c r="C3" s="21" t="s">
        <v>50</v>
      </c>
      <c r="D3" s="24"/>
      <c r="E3" s="24"/>
      <c r="F3" s="21" t="s">
        <v>51</v>
      </c>
      <c r="G3" s="24"/>
      <c r="H3" s="29"/>
    </row>
    <row r="4" spans="1:10" ht="39.9" customHeight="1" x14ac:dyDescent="0.25">
      <c r="C4" s="21" t="s">
        <v>52</v>
      </c>
      <c r="D4" s="24"/>
      <c r="E4" s="24"/>
      <c r="F4" s="21" t="s">
        <v>53</v>
      </c>
      <c r="G4" s="24"/>
    </row>
    <row r="5" spans="1:10" ht="39.9" customHeight="1" x14ac:dyDescent="0.25">
      <c r="C5" s="21" t="s">
        <v>54</v>
      </c>
      <c r="D5" s="24" t="s">
        <v>63</v>
      </c>
      <c r="E5" s="24"/>
      <c r="F5" s="21" t="s">
        <v>55</v>
      </c>
      <c r="G5" s="24"/>
    </row>
    <row r="7" spans="1:10" s="30" customFormat="1" ht="48" x14ac:dyDescent="0.25">
      <c r="A7" s="22" t="s">
        <v>0</v>
      </c>
      <c r="B7" s="21" t="s">
        <v>1</v>
      </c>
      <c r="C7" s="21" t="s">
        <v>24</v>
      </c>
      <c r="D7" s="21" t="s">
        <v>2</v>
      </c>
      <c r="E7" s="21" t="s">
        <v>5</v>
      </c>
      <c r="F7" s="22" t="s">
        <v>3</v>
      </c>
      <c r="G7" s="21" t="s">
        <v>4</v>
      </c>
      <c r="H7" s="21" t="s">
        <v>109</v>
      </c>
      <c r="I7" s="22" t="s">
        <v>110</v>
      </c>
      <c r="J7" s="22" t="s">
        <v>111</v>
      </c>
    </row>
    <row r="8" spans="1:10" ht="90" customHeight="1" x14ac:dyDescent="0.25">
      <c r="A8" s="23">
        <v>1</v>
      </c>
      <c r="B8" s="24" t="s">
        <v>6</v>
      </c>
      <c r="C8" s="24" t="s">
        <v>7</v>
      </c>
      <c r="D8" s="25" t="s">
        <v>75</v>
      </c>
      <c r="E8" s="26">
        <f>IF(F8="Yes",4,"0")</f>
        <v>4</v>
      </c>
      <c r="F8" s="27" t="s">
        <v>57</v>
      </c>
      <c r="G8" s="24"/>
      <c r="H8" s="24"/>
      <c r="I8" s="24"/>
      <c r="J8" s="24"/>
    </row>
    <row r="9" spans="1:10" ht="90" customHeight="1" x14ac:dyDescent="0.25">
      <c r="A9" s="23">
        <v>2</v>
      </c>
      <c r="B9" s="24" t="s">
        <v>44</v>
      </c>
      <c r="C9" s="24" t="s">
        <v>8</v>
      </c>
      <c r="D9" s="25" t="s">
        <v>89</v>
      </c>
      <c r="E9" s="26">
        <f t="shared" ref="E9:E19" si="0">IF(F9="Yes",3,"0")</f>
        <v>3</v>
      </c>
      <c r="F9" s="27" t="s">
        <v>57</v>
      </c>
      <c r="G9" s="24"/>
      <c r="H9" s="24"/>
      <c r="I9" s="24"/>
      <c r="J9" s="24"/>
    </row>
    <row r="10" spans="1:10" ht="90" customHeight="1" x14ac:dyDescent="0.25">
      <c r="A10" s="23">
        <v>3</v>
      </c>
      <c r="B10" s="24" t="s">
        <v>44</v>
      </c>
      <c r="C10" s="24" t="s">
        <v>64</v>
      </c>
      <c r="D10" s="25" t="s">
        <v>76</v>
      </c>
      <c r="E10" s="26">
        <f t="shared" si="0"/>
        <v>3</v>
      </c>
      <c r="F10" s="27" t="s">
        <v>57</v>
      </c>
      <c r="G10" s="24"/>
      <c r="H10" s="24"/>
      <c r="I10" s="24"/>
      <c r="J10" s="24"/>
    </row>
    <row r="11" spans="1:10" ht="90" customHeight="1" x14ac:dyDescent="0.25">
      <c r="A11" s="23">
        <v>4</v>
      </c>
      <c r="B11" s="24" t="s">
        <v>9</v>
      </c>
      <c r="C11" s="24" t="s">
        <v>58</v>
      </c>
      <c r="D11" s="25" t="s">
        <v>11</v>
      </c>
      <c r="E11" s="26">
        <f t="shared" si="0"/>
        <v>3</v>
      </c>
      <c r="F11" s="27" t="s">
        <v>57</v>
      </c>
      <c r="G11" s="24"/>
      <c r="H11" s="24"/>
      <c r="I11" s="24"/>
      <c r="J11" s="24"/>
    </row>
    <row r="12" spans="1:10" ht="90" customHeight="1" x14ac:dyDescent="0.25">
      <c r="A12" s="23">
        <v>5</v>
      </c>
      <c r="B12" s="24" t="s">
        <v>9</v>
      </c>
      <c r="C12" s="24" t="s">
        <v>12</v>
      </c>
      <c r="D12" s="25" t="s">
        <v>85</v>
      </c>
      <c r="E12" s="26">
        <f t="shared" si="0"/>
        <v>3</v>
      </c>
      <c r="F12" s="27" t="s">
        <v>57</v>
      </c>
      <c r="G12" s="24"/>
      <c r="H12" s="24"/>
      <c r="I12" s="24"/>
      <c r="J12" s="24"/>
    </row>
    <row r="13" spans="1:10" ht="90" customHeight="1" x14ac:dyDescent="0.25">
      <c r="A13" s="23">
        <v>6</v>
      </c>
      <c r="B13" s="24" t="s">
        <v>9</v>
      </c>
      <c r="C13" s="24" t="s">
        <v>67</v>
      </c>
      <c r="D13" s="25" t="s">
        <v>68</v>
      </c>
      <c r="E13" s="26">
        <f t="shared" si="0"/>
        <v>3</v>
      </c>
      <c r="F13" s="27" t="s">
        <v>57</v>
      </c>
      <c r="G13" s="24"/>
      <c r="H13" s="24"/>
      <c r="I13" s="24"/>
      <c r="J13" s="24"/>
    </row>
    <row r="14" spans="1:10" ht="90" customHeight="1" x14ac:dyDescent="0.25">
      <c r="A14" s="23">
        <v>7</v>
      </c>
      <c r="B14" s="24" t="s">
        <v>9</v>
      </c>
      <c r="C14" s="24" t="s">
        <v>69</v>
      </c>
      <c r="D14" s="25" t="s">
        <v>70</v>
      </c>
      <c r="E14" s="26">
        <f t="shared" si="0"/>
        <v>3</v>
      </c>
      <c r="F14" s="27" t="s">
        <v>57</v>
      </c>
      <c r="G14" s="24"/>
      <c r="H14" s="24"/>
      <c r="I14" s="24"/>
      <c r="J14" s="24"/>
    </row>
    <row r="15" spans="1:10" ht="90" customHeight="1" x14ac:dyDescent="0.25">
      <c r="A15" s="23">
        <v>8</v>
      </c>
      <c r="B15" s="24" t="s">
        <v>9</v>
      </c>
      <c r="C15" s="24" t="s">
        <v>10</v>
      </c>
      <c r="D15" s="25" t="s">
        <v>59</v>
      </c>
      <c r="E15" s="26">
        <f t="shared" si="0"/>
        <v>3</v>
      </c>
      <c r="F15" s="27" t="s">
        <v>57</v>
      </c>
      <c r="G15" s="24"/>
      <c r="H15" s="24"/>
      <c r="I15" s="24"/>
      <c r="J15" s="24"/>
    </row>
    <row r="16" spans="1:10" ht="90" customHeight="1" x14ac:dyDescent="0.25">
      <c r="A16" s="23">
        <v>9</v>
      </c>
      <c r="B16" s="24" t="s">
        <v>45</v>
      </c>
      <c r="C16" s="24" t="s">
        <v>18</v>
      </c>
      <c r="D16" s="25" t="s">
        <v>17</v>
      </c>
      <c r="E16" s="26">
        <f t="shared" si="0"/>
        <v>3</v>
      </c>
      <c r="F16" s="27" t="s">
        <v>57</v>
      </c>
      <c r="G16" s="24"/>
      <c r="H16" s="24"/>
      <c r="I16" s="24"/>
      <c r="J16" s="24"/>
    </row>
    <row r="17" spans="1:10" ht="90" customHeight="1" x14ac:dyDescent="0.25">
      <c r="A17" s="23">
        <v>10</v>
      </c>
      <c r="B17" s="24" t="s">
        <v>45</v>
      </c>
      <c r="C17" s="24" t="s">
        <v>56</v>
      </c>
      <c r="D17" s="25" t="s">
        <v>60</v>
      </c>
      <c r="E17" s="26">
        <f t="shared" si="0"/>
        <v>3</v>
      </c>
      <c r="F17" s="27" t="s">
        <v>57</v>
      </c>
      <c r="G17" s="24"/>
      <c r="H17" s="24"/>
      <c r="I17" s="24"/>
      <c r="J17" s="24"/>
    </row>
    <row r="18" spans="1:10" ht="90" customHeight="1" x14ac:dyDescent="0.25">
      <c r="A18" s="23">
        <v>11</v>
      </c>
      <c r="B18" s="24" t="s">
        <v>45</v>
      </c>
      <c r="C18" s="24" t="s">
        <v>65</v>
      </c>
      <c r="D18" s="25" t="s">
        <v>15</v>
      </c>
      <c r="E18" s="26">
        <f t="shared" si="0"/>
        <v>3</v>
      </c>
      <c r="F18" s="27" t="s">
        <v>57</v>
      </c>
      <c r="G18" s="24"/>
      <c r="H18" s="24"/>
      <c r="I18" s="24"/>
      <c r="J18" s="24"/>
    </row>
    <row r="19" spans="1:10" ht="90" customHeight="1" x14ac:dyDescent="0.25">
      <c r="A19" s="23">
        <v>12</v>
      </c>
      <c r="B19" s="24" t="s">
        <v>45</v>
      </c>
      <c r="C19" s="24" t="s">
        <v>14</v>
      </c>
      <c r="D19" s="25" t="s">
        <v>13</v>
      </c>
      <c r="E19" s="26">
        <f t="shared" si="0"/>
        <v>3</v>
      </c>
      <c r="F19" s="27" t="s">
        <v>57</v>
      </c>
      <c r="G19" s="24"/>
      <c r="H19" s="24"/>
      <c r="I19" s="24"/>
      <c r="J19" s="24"/>
    </row>
    <row r="20" spans="1:10" ht="90" customHeight="1" x14ac:dyDescent="0.25">
      <c r="A20" s="23">
        <v>13</v>
      </c>
      <c r="B20" s="24" t="s">
        <v>46</v>
      </c>
      <c r="C20" s="24" t="s">
        <v>71</v>
      </c>
      <c r="D20" s="25" t="s">
        <v>72</v>
      </c>
      <c r="E20" s="26">
        <f>IF(F20="Yes",5,"0")</f>
        <v>5</v>
      </c>
      <c r="F20" s="27" t="s">
        <v>57</v>
      </c>
      <c r="G20" s="24"/>
      <c r="H20" s="24"/>
      <c r="I20" s="24"/>
      <c r="J20" s="24"/>
    </row>
    <row r="21" spans="1:10" ht="90" customHeight="1" x14ac:dyDescent="0.25">
      <c r="A21" s="23">
        <v>14</v>
      </c>
      <c r="B21" s="24" t="s">
        <v>46</v>
      </c>
      <c r="C21" s="24" t="s">
        <v>20</v>
      </c>
      <c r="D21" s="25" t="s">
        <v>73</v>
      </c>
      <c r="E21" s="26">
        <f>IF(F21="Yes",5,"0")</f>
        <v>5</v>
      </c>
      <c r="F21" s="27" t="s">
        <v>57</v>
      </c>
      <c r="G21" s="24"/>
      <c r="H21" s="24"/>
      <c r="I21" s="24"/>
      <c r="J21" s="24"/>
    </row>
    <row r="22" spans="1:10" ht="90" customHeight="1" x14ac:dyDescent="0.25">
      <c r="A22" s="23">
        <v>15</v>
      </c>
      <c r="B22" s="24" t="s">
        <v>46</v>
      </c>
      <c r="C22" s="24" t="s">
        <v>74</v>
      </c>
      <c r="D22" s="25" t="s">
        <v>79</v>
      </c>
      <c r="E22" s="26">
        <f>IF(F22="Yes",5,"0")</f>
        <v>5</v>
      </c>
      <c r="F22" s="27" t="s">
        <v>57</v>
      </c>
      <c r="G22" s="24"/>
      <c r="H22" s="24"/>
      <c r="I22" s="24"/>
      <c r="J22" s="24"/>
    </row>
    <row r="23" spans="1:10" ht="90" customHeight="1" x14ac:dyDescent="0.25">
      <c r="A23" s="23">
        <v>16</v>
      </c>
      <c r="B23" s="24" t="s">
        <v>46</v>
      </c>
      <c r="C23" s="24" t="s">
        <v>19</v>
      </c>
      <c r="D23" s="25" t="s">
        <v>77</v>
      </c>
      <c r="E23" s="26">
        <f>IF(F23="Yes",4,"0")</f>
        <v>4</v>
      </c>
      <c r="F23" s="27" t="s">
        <v>57</v>
      </c>
      <c r="G23" s="24"/>
      <c r="H23" s="24"/>
      <c r="I23" s="24"/>
      <c r="J23" s="24"/>
    </row>
    <row r="24" spans="1:10" ht="90" customHeight="1" x14ac:dyDescent="0.25">
      <c r="A24" s="23">
        <v>17</v>
      </c>
      <c r="B24" s="24" t="s">
        <v>46</v>
      </c>
      <c r="C24" s="24" t="s">
        <v>80</v>
      </c>
      <c r="D24" s="25" t="s">
        <v>81</v>
      </c>
      <c r="E24" s="26">
        <f>IF(F24="Yes",5,"0")</f>
        <v>5</v>
      </c>
      <c r="F24" s="27" t="s">
        <v>57</v>
      </c>
      <c r="G24" s="24"/>
      <c r="H24" s="24"/>
      <c r="I24" s="24"/>
      <c r="J24" s="24"/>
    </row>
    <row r="25" spans="1:10" ht="90" customHeight="1" x14ac:dyDescent="0.25">
      <c r="A25" s="23">
        <v>18</v>
      </c>
      <c r="B25" s="24" t="s">
        <v>46</v>
      </c>
      <c r="C25" s="24" t="s">
        <v>78</v>
      </c>
      <c r="D25" s="25" t="s">
        <v>86</v>
      </c>
      <c r="E25" s="26">
        <f>IF(F25="Yes",6,"0")</f>
        <v>6</v>
      </c>
      <c r="F25" s="27" t="s">
        <v>57</v>
      </c>
      <c r="G25" s="24"/>
      <c r="H25" s="24"/>
      <c r="I25" s="24"/>
      <c r="J25" s="24"/>
    </row>
    <row r="26" spans="1:10" ht="90" customHeight="1" x14ac:dyDescent="0.25">
      <c r="A26" s="23">
        <v>19</v>
      </c>
      <c r="B26" s="24" t="s">
        <v>46</v>
      </c>
      <c r="C26" s="24" t="s">
        <v>22</v>
      </c>
      <c r="D26" s="25" t="s">
        <v>82</v>
      </c>
      <c r="E26" s="26">
        <f>IF(F26="Yes",4,"0")</f>
        <v>4</v>
      </c>
      <c r="F26" s="27" t="s">
        <v>57</v>
      </c>
      <c r="G26" s="24"/>
      <c r="H26" s="24"/>
      <c r="I26" s="24"/>
      <c r="J26" s="24"/>
    </row>
    <row r="27" spans="1:10" ht="90" customHeight="1" x14ac:dyDescent="0.25">
      <c r="A27" s="23">
        <v>20</v>
      </c>
      <c r="B27" s="24" t="s">
        <v>46</v>
      </c>
      <c r="C27" s="24" t="s">
        <v>107</v>
      </c>
      <c r="D27" s="25" t="s">
        <v>108</v>
      </c>
      <c r="E27" s="26">
        <f>IF(F27="Yes",3,"0")</f>
        <v>3</v>
      </c>
      <c r="F27" s="27" t="s">
        <v>57</v>
      </c>
      <c r="G27" s="24"/>
      <c r="H27" s="24"/>
      <c r="I27" s="24"/>
      <c r="J27" s="24"/>
    </row>
    <row r="28" spans="1:10" ht="90" customHeight="1" x14ac:dyDescent="0.25">
      <c r="A28" s="23">
        <v>21</v>
      </c>
      <c r="B28" s="24" t="s">
        <v>46</v>
      </c>
      <c r="C28" s="24" t="s">
        <v>83</v>
      </c>
      <c r="D28" s="25" t="s">
        <v>84</v>
      </c>
      <c r="E28" s="26">
        <f>IF(F28="Yes",3,"0")</f>
        <v>3</v>
      </c>
      <c r="F28" s="27" t="s">
        <v>57</v>
      </c>
      <c r="G28" s="24"/>
      <c r="H28" s="24"/>
      <c r="I28" s="24"/>
      <c r="J28" s="24"/>
    </row>
    <row r="29" spans="1:10" ht="90" customHeight="1" x14ac:dyDescent="0.25">
      <c r="A29" s="23">
        <v>22</v>
      </c>
      <c r="B29" s="24" t="s">
        <v>46</v>
      </c>
      <c r="C29" s="24" t="s">
        <v>62</v>
      </c>
      <c r="D29" s="25" t="s">
        <v>61</v>
      </c>
      <c r="E29" s="26">
        <f>IF(F29="Yes",6,"0")</f>
        <v>6</v>
      </c>
      <c r="F29" s="27" t="s">
        <v>57</v>
      </c>
      <c r="G29" s="24"/>
      <c r="H29" s="24"/>
      <c r="I29" s="24"/>
      <c r="J29" s="24"/>
    </row>
    <row r="30" spans="1:10" ht="90" customHeight="1" x14ac:dyDescent="0.25">
      <c r="A30" s="23">
        <v>23</v>
      </c>
      <c r="B30" s="24" t="s">
        <v>47</v>
      </c>
      <c r="C30" s="24" t="s">
        <v>23</v>
      </c>
      <c r="D30" s="25" t="s">
        <v>87</v>
      </c>
      <c r="E30" s="26">
        <f>IF(F30="Yes",5,"0")</f>
        <v>5</v>
      </c>
      <c r="F30" s="27" t="s">
        <v>57</v>
      </c>
      <c r="G30" s="24"/>
      <c r="H30" s="24"/>
      <c r="I30" s="24"/>
      <c r="J30" s="24"/>
    </row>
    <row r="31" spans="1:10" ht="90" customHeight="1" x14ac:dyDescent="0.25">
      <c r="A31" s="23">
        <v>24</v>
      </c>
      <c r="B31" s="24" t="s">
        <v>47</v>
      </c>
      <c r="C31" s="24" t="s">
        <v>21</v>
      </c>
      <c r="D31" s="25" t="s">
        <v>88</v>
      </c>
      <c r="E31" s="26">
        <f>IF(F31="Yes",2,"0")</f>
        <v>2</v>
      </c>
      <c r="F31" s="27" t="s">
        <v>57</v>
      </c>
      <c r="G31" s="24"/>
      <c r="H31" s="24"/>
      <c r="I31" s="24"/>
      <c r="J31" s="24"/>
    </row>
    <row r="32" spans="1:10" ht="90" customHeight="1" x14ac:dyDescent="0.25">
      <c r="A32" s="23">
        <v>25</v>
      </c>
      <c r="B32" s="24" t="s">
        <v>47</v>
      </c>
      <c r="C32" s="24" t="s">
        <v>90</v>
      </c>
      <c r="D32" s="25" t="s">
        <v>91</v>
      </c>
      <c r="E32" s="26">
        <f>IF(F32="Yes",1,"0")</f>
        <v>1</v>
      </c>
      <c r="F32" s="27" t="s">
        <v>57</v>
      </c>
      <c r="G32" s="24"/>
      <c r="H32" s="24"/>
      <c r="I32" s="24"/>
      <c r="J32" s="24"/>
    </row>
    <row r="33" spans="1:10" ht="90" customHeight="1" x14ac:dyDescent="0.25">
      <c r="A33" s="23">
        <v>26</v>
      </c>
      <c r="B33" s="24" t="s">
        <v>47</v>
      </c>
      <c r="C33" s="24" t="s">
        <v>92</v>
      </c>
      <c r="D33" s="25" t="s">
        <v>93</v>
      </c>
      <c r="E33" s="26">
        <f>IF(F33="Yes",1,"0")</f>
        <v>1</v>
      </c>
      <c r="F33" s="27" t="s">
        <v>57</v>
      </c>
      <c r="G33" s="24"/>
      <c r="H33" s="24"/>
      <c r="I33" s="24"/>
      <c r="J33" s="24"/>
    </row>
    <row r="34" spans="1:10" ht="90" customHeight="1" x14ac:dyDescent="0.25">
      <c r="A34" s="23">
        <v>27</v>
      </c>
      <c r="B34" s="24" t="s">
        <v>47</v>
      </c>
      <c r="C34" s="24" t="s">
        <v>94</v>
      </c>
      <c r="D34" s="25" t="s">
        <v>95</v>
      </c>
      <c r="E34" s="26">
        <f>IF(F34="Yes",1,"0")</f>
        <v>1</v>
      </c>
      <c r="F34" s="27" t="s">
        <v>57</v>
      </c>
      <c r="G34" s="24"/>
      <c r="H34" s="24"/>
      <c r="I34" s="24"/>
      <c r="J34" s="24"/>
    </row>
    <row r="35" spans="1:10" ht="90" customHeight="1" x14ac:dyDescent="0.25">
      <c r="A35" s="23">
        <v>28</v>
      </c>
      <c r="B35" s="24" t="s">
        <v>47</v>
      </c>
      <c r="C35" s="24" t="s">
        <v>96</v>
      </c>
      <c r="D35" s="25" t="s">
        <v>97</v>
      </c>
      <c r="E35" s="26">
        <f>IF(F35="Yes",1,"0")</f>
        <v>1</v>
      </c>
      <c r="F35" s="27" t="s">
        <v>57</v>
      </c>
      <c r="G35" s="24"/>
      <c r="H35" s="24"/>
      <c r="I35" s="24"/>
      <c r="J35" s="24"/>
    </row>
    <row r="36" spans="1:10" ht="90" customHeight="1" x14ac:dyDescent="0.25">
      <c r="A36" s="23">
        <v>29</v>
      </c>
      <c r="B36" s="24" t="s">
        <v>47</v>
      </c>
      <c r="C36" s="24" t="s">
        <v>16</v>
      </c>
      <c r="D36" s="25" t="s">
        <v>98</v>
      </c>
      <c r="E36" s="26">
        <f>IF(F36="Yes",3,"0")</f>
        <v>3</v>
      </c>
      <c r="F36" s="27" t="s">
        <v>57</v>
      </c>
      <c r="G36" s="24"/>
      <c r="H36" s="24"/>
      <c r="I36" s="24"/>
      <c r="J36" s="24"/>
    </row>
    <row r="37" spans="1:10" ht="90" customHeight="1" x14ac:dyDescent="0.25">
      <c r="A37" s="23">
        <v>30</v>
      </c>
      <c r="B37" s="24" t="s">
        <v>47</v>
      </c>
      <c r="C37" s="24" t="s">
        <v>99</v>
      </c>
      <c r="D37" s="25" t="s">
        <v>100</v>
      </c>
      <c r="E37" s="26">
        <f>IF(F37="Yes",1,"0")</f>
        <v>1</v>
      </c>
      <c r="F37" s="27" t="s">
        <v>57</v>
      </c>
      <c r="G37" s="24"/>
      <c r="H37" s="24"/>
      <c r="I37" s="24"/>
      <c r="J37" s="24"/>
    </row>
    <row r="38" spans="1:10" ht="90" customHeight="1" x14ac:dyDescent="0.25">
      <c r="A38" s="23">
        <v>31</v>
      </c>
      <c r="B38" s="24" t="s">
        <v>47</v>
      </c>
      <c r="C38" s="24" t="s">
        <v>101</v>
      </c>
      <c r="D38" s="25" t="s">
        <v>102</v>
      </c>
      <c r="E38" s="26">
        <f>IF(F38="Yes",2,"0")</f>
        <v>2</v>
      </c>
      <c r="F38" s="27" t="s">
        <v>57</v>
      </c>
      <c r="G38" s="24"/>
      <c r="H38" s="24"/>
      <c r="I38" s="24"/>
      <c r="J38" s="24"/>
    </row>
    <row r="39" spans="1:10" ht="150" customHeight="1" x14ac:dyDescent="0.25">
      <c r="A39" s="23">
        <v>32</v>
      </c>
      <c r="B39" s="24" t="s">
        <v>103</v>
      </c>
      <c r="C39" s="24" t="s">
        <v>104</v>
      </c>
      <c r="D39" s="25" t="s">
        <v>105</v>
      </c>
      <c r="E39" s="26" t="s">
        <v>106</v>
      </c>
      <c r="F39" s="27" t="s">
        <v>57</v>
      </c>
      <c r="G39" s="24"/>
      <c r="H39" s="24"/>
      <c r="I39" s="24"/>
      <c r="J39" s="24"/>
    </row>
  </sheetData>
  <dataValidations count="2">
    <dataValidation type="list" allowBlank="1" showInputMessage="1" showErrorMessage="1" sqref="D5:E5" xr:uid="{209844A2-BDBE-4DD2-84C3-E6C85BEDBE4A}">
      <formula1>"Collection Agency, Collection &amp; Repo Agency, Repo Agency"</formula1>
    </dataValidation>
    <dataValidation type="list" allowBlank="1" showInputMessage="1" showErrorMessage="1" sqref="F8:F39" xr:uid="{1EA5A757-2C38-4434-A177-98D4C44D778F}">
      <formula1>"Yes, No"</formula1>
    </dataValidation>
  </dataValidations>
  <pageMargins left="0.23622047244094491" right="0.23622047244094491" top="0.74803149606299213" bottom="0.74803149606299213" header="0.31496062992125984" footer="0.31496062992125984"/>
  <pageSetup paperSize="9" scale="57"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8"/>
  <sheetViews>
    <sheetView showGridLines="0" workbookViewId="0"/>
  </sheetViews>
  <sheetFormatPr defaultColWidth="33.42578125" defaultRowHeight="13.8" x14ac:dyDescent="0.2"/>
  <cols>
    <col min="1" max="1" width="9" style="6" bestFit="1" customWidth="1"/>
    <col min="2" max="2" width="22.42578125" style="6" bestFit="1" customWidth="1"/>
    <col min="3" max="3" width="16" style="6" bestFit="1" customWidth="1"/>
    <col min="4" max="4" width="16.28515625" style="6" bestFit="1" customWidth="1"/>
    <col min="5" max="5" width="12.140625" style="6" bestFit="1" customWidth="1"/>
    <col min="6" max="6" width="16.85546875" style="6" bestFit="1" customWidth="1"/>
    <col min="7" max="7" width="33.42578125" style="6"/>
    <col min="8" max="8" width="6.140625" style="6" customWidth="1"/>
    <col min="9" max="9" width="5.42578125" style="6" customWidth="1"/>
    <col min="10" max="10" width="6.28515625" style="6" customWidth="1"/>
    <col min="11" max="11" width="8.7109375" style="6" customWidth="1"/>
    <col min="12" max="16384" width="33.42578125" style="6"/>
  </cols>
  <sheetData>
    <row r="1" spans="1:6" x14ac:dyDescent="0.2">
      <c r="A1" s="1" t="s">
        <v>25</v>
      </c>
      <c r="B1" s="8" t="s">
        <v>26</v>
      </c>
      <c r="C1" s="1" t="s">
        <v>27</v>
      </c>
      <c r="D1" s="1" t="s">
        <v>28</v>
      </c>
      <c r="E1" s="1" t="s">
        <v>29</v>
      </c>
      <c r="F1" s="1" t="s">
        <v>30</v>
      </c>
    </row>
    <row r="2" spans="1:6" ht="27.6" x14ac:dyDescent="0.2">
      <c r="A2" s="19">
        <v>1</v>
      </c>
      <c r="B2" s="7" t="s">
        <v>6</v>
      </c>
      <c r="C2" s="2">
        <f>COUNTIF('Repo Checklist'!$B$7:$B$39,B2)</f>
        <v>1</v>
      </c>
      <c r="D2" s="3">
        <v>4</v>
      </c>
      <c r="E2" s="3">
        <f>SUMIF('Repo Checklist'!$B$7:$B$39,'Score Parameters'!B2,'Repo Checklist'!$E$7:$E$39)</f>
        <v>4</v>
      </c>
      <c r="F2" s="17">
        <f>IFERROR(E2/D2,"-")</f>
        <v>1</v>
      </c>
    </row>
    <row r="3" spans="1:6" x14ac:dyDescent="0.2">
      <c r="A3" s="19">
        <v>2</v>
      </c>
      <c r="B3" s="7" t="s">
        <v>44</v>
      </c>
      <c r="C3" s="2">
        <f>COUNTIF('Repo Checklist'!$B$7:$B$39,B3)</f>
        <v>2</v>
      </c>
      <c r="D3" s="3">
        <v>6</v>
      </c>
      <c r="E3" s="3">
        <f>SUMIF('Repo Checklist'!$B$7:$B$39,'Score Parameters'!B3,'Repo Checklist'!$E$7:$E$39)</f>
        <v>6</v>
      </c>
      <c r="F3" s="17">
        <f t="shared" ref="F3:F8" si="0">IFERROR(E3/D3,"-")</f>
        <v>1</v>
      </c>
    </row>
    <row r="4" spans="1:6" x14ac:dyDescent="0.2">
      <c r="A4" s="19">
        <v>3</v>
      </c>
      <c r="B4" s="7" t="s">
        <v>9</v>
      </c>
      <c r="C4" s="2">
        <f>COUNTIF('Repo Checklist'!$B$7:$B$39,B4)</f>
        <v>5</v>
      </c>
      <c r="D4" s="3">
        <v>15</v>
      </c>
      <c r="E4" s="3">
        <f>SUMIF('Repo Checklist'!$B$7:$B$39,'Score Parameters'!B4,'Repo Checklist'!$E$7:$E$39)</f>
        <v>15</v>
      </c>
      <c r="F4" s="17">
        <f t="shared" si="0"/>
        <v>1</v>
      </c>
    </row>
    <row r="5" spans="1:6" x14ac:dyDescent="0.2">
      <c r="A5" s="19">
        <v>4</v>
      </c>
      <c r="B5" s="7" t="s">
        <v>45</v>
      </c>
      <c r="C5" s="2">
        <f>COUNTIF('Repo Checklist'!$B$7:$B$39,B5)</f>
        <v>4</v>
      </c>
      <c r="D5" s="3">
        <v>12</v>
      </c>
      <c r="E5" s="3">
        <f>SUMIF('Repo Checklist'!$B$7:$B$39,'Score Parameters'!B5,'Repo Checklist'!$E$7:$E$39)</f>
        <v>12</v>
      </c>
      <c r="F5" s="17">
        <f t="shared" si="0"/>
        <v>1</v>
      </c>
    </row>
    <row r="6" spans="1:6" ht="27.6" x14ac:dyDescent="0.2">
      <c r="A6" s="19">
        <v>6</v>
      </c>
      <c r="B6" s="7" t="s">
        <v>46</v>
      </c>
      <c r="C6" s="2">
        <f>COUNTIF('Repo Checklist'!$B$7:$B$39,B6)</f>
        <v>10</v>
      </c>
      <c r="D6" s="3">
        <v>46</v>
      </c>
      <c r="E6" s="3">
        <f>SUMIF('Repo Checklist'!$B$7:$B$39,'Score Parameters'!B6,'Repo Checklist'!$E$7:$E$39)</f>
        <v>46</v>
      </c>
      <c r="F6" s="17">
        <f t="shared" si="0"/>
        <v>1</v>
      </c>
    </row>
    <row r="7" spans="1:6" x14ac:dyDescent="0.2">
      <c r="A7" s="19">
        <v>7</v>
      </c>
      <c r="B7" s="7" t="s">
        <v>47</v>
      </c>
      <c r="C7" s="2">
        <f>COUNTIF('Repo Checklist'!$B$7:$B$39,B7)</f>
        <v>9</v>
      </c>
      <c r="D7" s="3">
        <v>17</v>
      </c>
      <c r="E7" s="3">
        <f>SUMIF('Repo Checklist'!$B$7:$B$39,'Score Parameters'!B7,'Repo Checklist'!$E$7:$E$39)</f>
        <v>17</v>
      </c>
      <c r="F7" s="17">
        <f t="shared" si="0"/>
        <v>1</v>
      </c>
    </row>
    <row r="8" spans="1:6" x14ac:dyDescent="0.2">
      <c r="A8" s="19">
        <v>8</v>
      </c>
      <c r="B8" s="7" t="s">
        <v>103</v>
      </c>
      <c r="C8" s="2">
        <f>COUNTIF('Repo Checklist'!$B$7:$B$39,B8)</f>
        <v>1</v>
      </c>
      <c r="D8" s="3">
        <v>0</v>
      </c>
      <c r="E8" s="3">
        <f>SUMIF('Repo Checklist'!$B$7:$B$39,'Score Parameters'!B8,'Repo Checklist'!$E$7:$E$39)</f>
        <v>0</v>
      </c>
      <c r="F8" s="17" t="str">
        <f t="shared" si="0"/>
        <v>-</v>
      </c>
    </row>
    <row r="9" spans="1:6" x14ac:dyDescent="0.2">
      <c r="A9" s="16"/>
      <c r="B9" s="8" t="s">
        <v>31</v>
      </c>
      <c r="C9" s="1">
        <f>SUM(C2:C8)</f>
        <v>32</v>
      </c>
      <c r="D9" s="20">
        <f>SUM(D2:D8)</f>
        <v>100</v>
      </c>
      <c r="E9" s="20">
        <f>SUM(E2:E8)</f>
        <v>100</v>
      </c>
      <c r="F9" s="18">
        <f>E9/D9</f>
        <v>1</v>
      </c>
    </row>
    <row r="10" spans="1:6" x14ac:dyDescent="0.2">
      <c r="A10" s="31" t="s">
        <v>32</v>
      </c>
      <c r="B10" s="31"/>
      <c r="C10" s="31"/>
      <c r="D10" s="31"/>
      <c r="E10" s="31"/>
      <c r="F10" s="1" t="str" cm="1">
        <f t="array" ref="F10">_xlfn.IFS(F9&gt;=80%,B13,F9&gt;=70%,B14,F9&gt;=60%,B15,F9&gt;=50%,B16,F9&lt;=49%,B17)</f>
        <v>A</v>
      </c>
    </row>
    <row r="12" spans="1:6" hidden="1" x14ac:dyDescent="0.2">
      <c r="B12" s="4" t="s">
        <v>42</v>
      </c>
      <c r="C12" s="5" t="s">
        <v>43</v>
      </c>
    </row>
    <row r="13" spans="1:6" hidden="1" x14ac:dyDescent="0.2">
      <c r="B13" s="9" t="s">
        <v>33</v>
      </c>
      <c r="C13" s="10" t="s">
        <v>34</v>
      </c>
    </row>
    <row r="14" spans="1:6" hidden="1" x14ac:dyDescent="0.2">
      <c r="B14" s="11" t="s">
        <v>35</v>
      </c>
      <c r="C14" s="10" t="s">
        <v>36</v>
      </c>
    </row>
    <row r="15" spans="1:6" hidden="1" x14ac:dyDescent="0.2">
      <c r="B15" s="12" t="s">
        <v>37</v>
      </c>
      <c r="C15" s="10" t="s">
        <v>66</v>
      </c>
    </row>
    <row r="16" spans="1:6" hidden="1" x14ac:dyDescent="0.2">
      <c r="B16" s="13" t="s">
        <v>38</v>
      </c>
      <c r="C16" s="10" t="s">
        <v>39</v>
      </c>
    </row>
    <row r="17" spans="2:3" ht="14.4" hidden="1" thickBot="1" x14ac:dyDescent="0.25">
      <c r="B17" s="14" t="s">
        <v>40</v>
      </c>
      <c r="C17" s="15" t="s">
        <v>41</v>
      </c>
    </row>
    <row r="18" spans="2:3" hidden="1" x14ac:dyDescent="0.2"/>
  </sheetData>
  <mergeCells count="1">
    <mergeCell ref="A10:E10"/>
  </mergeCells>
  <conditionalFormatting sqref="B13:B17">
    <cfRule type="colorScale" priority="1">
      <colorScale>
        <cfvo type="min"/>
        <cfvo type="percentile" val="50"/>
        <cfvo type="max"/>
        <color rgb="FFF8696B"/>
        <color rgb="FFFFEB84"/>
        <color rgb="FF63BE7B"/>
      </colorScale>
    </cfRule>
  </conditionalFormatting>
  <conditionalFormatting sqref="F9">
    <cfRule type="cellIs" dxfId="2" priority="5" operator="greaterThan">
      <formula>0.8</formula>
    </cfRule>
    <cfRule type="cellIs" dxfId="1" priority="6" operator="between">
      <formula>0.6</formula>
      <formula>0.8</formula>
    </cfRule>
    <cfRule type="cellIs" dxfId="0" priority="7" operator="between">
      <formula>0</formula>
      <formula>0.5999</formula>
    </cfRule>
  </conditionalFormatting>
  <pageMargins left="0.7" right="0.7" top="0.75" bottom="0.75" header="0.3" footer="0.3"/>
  <pageSetup paperSize="9"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115396f-2e4a-4d2a-ba9c-df4d17cb71a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9E9B38EF334341B754D8F8D6A719DA" ma:contentTypeVersion="16" ma:contentTypeDescription="Create a new document." ma:contentTypeScope="" ma:versionID="fa1e129258e112aee4cf2e89d18a6563">
  <xsd:schema xmlns:xsd="http://www.w3.org/2001/XMLSchema" xmlns:xs="http://www.w3.org/2001/XMLSchema" xmlns:p="http://schemas.microsoft.com/office/2006/metadata/properties" xmlns:ns3="0115396f-2e4a-4d2a-ba9c-df4d17cb71a2" xmlns:ns4="2bc29a05-2ca3-4765-9547-41c11361a102" targetNamespace="http://schemas.microsoft.com/office/2006/metadata/properties" ma:root="true" ma:fieldsID="c5debfbfacc377353d2d2775bb411679" ns3:_="" ns4:_="">
    <xsd:import namespace="0115396f-2e4a-4d2a-ba9c-df4d17cb71a2"/>
    <xsd:import namespace="2bc29a05-2ca3-4765-9547-41c11361a102"/>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396f-2e4a-4d2a-ba9c-df4d17cb71a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c29a05-2ca3-4765-9547-41c11361a102"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497B80-A936-4519-8A3E-617F634A3902}">
  <ds:schemaRefs>
    <ds:schemaRef ds:uri="http://schemas.microsoft.com/sharepoint/v3/contenttype/forms"/>
  </ds:schemaRefs>
</ds:datastoreItem>
</file>

<file path=customXml/itemProps2.xml><?xml version="1.0" encoding="utf-8"?>
<ds:datastoreItem xmlns:ds="http://schemas.openxmlformats.org/officeDocument/2006/customXml" ds:itemID="{811DE56B-2DE6-43EB-9A84-91DE4EA53BF9}">
  <ds:schemaRefs>
    <ds:schemaRef ds:uri="http://schemas.microsoft.com/office/2006/metadata/properties"/>
    <ds:schemaRef ds:uri="http://purl.org/dc/elements/1.1/"/>
    <ds:schemaRef ds:uri="http://schemas.microsoft.com/office/infopath/2007/PartnerControls"/>
    <ds:schemaRef ds:uri="http://purl.org/dc/dcmitype/"/>
    <ds:schemaRef ds:uri="http://schemas.microsoft.com/office/2006/documentManagement/types"/>
    <ds:schemaRef ds:uri="http://purl.org/dc/terms/"/>
    <ds:schemaRef ds:uri="http://schemas.openxmlformats.org/package/2006/metadata/core-properties"/>
    <ds:schemaRef ds:uri="2bc29a05-2ca3-4765-9547-41c11361a102"/>
    <ds:schemaRef ds:uri="0115396f-2e4a-4d2a-ba9c-df4d17cb71a2"/>
    <ds:schemaRef ds:uri="http://www.w3.org/XML/1998/namespace"/>
  </ds:schemaRefs>
</ds:datastoreItem>
</file>

<file path=customXml/itemProps3.xml><?xml version="1.0" encoding="utf-8"?>
<ds:datastoreItem xmlns:ds="http://schemas.openxmlformats.org/officeDocument/2006/customXml" ds:itemID="{6789A49F-30F9-49A4-A731-E5F463A99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5396f-2e4a-4d2a-ba9c-df4d17cb71a2"/>
    <ds:schemaRef ds:uri="2bc29a05-2ca3-4765-9547-41c11361a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Repo Checklist</vt:lpstr>
      <vt:lpstr>Score Parameters</vt:lpstr>
      <vt:lpstr>'Repo Checklist'!Print_Titles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Himanshu16.Sharma@tatacapital.com</dc:creator>
  <cp:lastModifiedBy>Rachit Goyal</cp:lastModifiedBy>
  <cp:lastPrinted>2026-04-23T07:47:46Z</cp:lastPrinted>
  <dcterms:created xsi:type="dcterms:W3CDTF">2022-09-05T09:55:28Z</dcterms:created>
  <dcterms:modified xsi:type="dcterms:W3CDTF">2026-08-31T07:17:47Z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0x010100B89E9B38EF334341B754D8F8D6A719DA</vt:lpwstr>
  </property>
</Properties>
</file>